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maedarn/Dropbox/code/code/flow/lmt/cpu_rep/cpu_rep2/"/>
    </mc:Choice>
  </mc:AlternateContent>
  <xr:revisionPtr revIDLastSave="0" documentId="8_{D3656253-8E37-334D-925B-61F8F2580E71}"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1660" yWindow="-31500" windowWidth="34560" windowHeight="1994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PI32" i="25"/>
  <c r="PI37" i="25"/>
  <c r="RA33" i="25"/>
  <c r="PI31" i="25"/>
  <c r="PH30" i="25"/>
  <c r="PH39" i="25"/>
  <c r="PH34" i="25"/>
  <c r="PH31" i="25"/>
  <c r="PI38" i="25"/>
  <c r="RA34" i="25"/>
  <c r="PH36" i="25"/>
  <c r="PI42" i="25"/>
  <c r="PI33" i="25"/>
  <c r="PH38" i="25"/>
  <c r="PH37" i="25"/>
  <c r="PH35" i="25"/>
  <c r="RA38" i="25"/>
  <c r="PI36" i="25"/>
  <c r="PH32" i="25"/>
  <c r="PH33" i="25"/>
  <c r="PH40" i="25"/>
  <c r="PI30" i="25"/>
  <c r="PH42" i="25"/>
  <c r="RA37" i="25"/>
  <c r="RA31" i="25"/>
  <c r="RA41" i="25"/>
  <c r="PI40" i="25"/>
  <c r="RA39" i="25"/>
  <c r="RA35" i="25"/>
  <c r="RA36" i="25"/>
  <c r="PI41" i="25"/>
  <c r="PH41" i="25"/>
  <c r="RA32" i="25"/>
  <c r="PI34" i="25"/>
  <c r="RA40" i="25"/>
  <c r="PI39" i="25"/>
  <c r="PI35" i="25"/>
  <c r="OT41" i="25"/>
  <c r="OS41" i="25"/>
  <c r="NL41" i="25"/>
  <c r="OS40" i="25"/>
  <c r="NL40" i="25"/>
  <c r="OT40" i="25"/>
  <c r="OT39" i="25"/>
  <c r="OS39" i="25"/>
  <c r="NL39" i="25"/>
  <c r="OS38" i="25"/>
  <c r="NL38" i="25"/>
  <c r="OT38" i="25"/>
  <c r="OT37" i="25"/>
  <c r="NL37" i="25"/>
  <c r="OS37" i="25"/>
  <c r="OS36" i="25"/>
  <c r="NL36" i="25"/>
  <c r="OT36" i="25"/>
  <c r="OS35" i="25"/>
  <c r="OT35" i="25"/>
  <c r="NL35" i="25"/>
  <c r="OT34" i="25"/>
  <c r="OS34" i="25"/>
  <c r="NL34" i="25"/>
  <c r="OS33" i="25"/>
  <c r="OT33" i="25"/>
  <c r="NL33" i="25"/>
  <c r="OT32" i="25"/>
  <c r="OS32" i="25"/>
  <c r="NL32" i="25"/>
  <c r="OS31" i="25"/>
  <c r="OT31" i="25"/>
  <c r="NL31" i="25"/>
  <c r="NL42" i="25"/>
  <c r="OS30" i="25"/>
  <c r="NL30" i="25"/>
  <c r="OS42" i="25"/>
  <c r="OT30" i="25"/>
  <c r="OT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G31" i="25" s="1"/>
  <c r="PE35" i="25"/>
  <c r="J60" i="9" s="1"/>
  <c r="PE39" i="25"/>
  <c r="J64" i="9" s="1"/>
  <c r="PE38" i="25"/>
  <c r="J63" i="9" s="1"/>
  <c r="PE32" i="25"/>
  <c r="PG32" i="25" s="1"/>
  <c r="PE36" i="25"/>
  <c r="J61" i="9" s="1"/>
  <c r="PE40" i="25"/>
  <c r="J65" i="9" s="1"/>
  <c r="PE33" i="25"/>
  <c r="J58" i="9" s="1"/>
  <c r="PE37" i="25"/>
  <c r="J62" i="9" s="1"/>
  <c r="PE41" i="25"/>
  <c r="J66" i="9" s="1"/>
  <c r="PE34" i="25"/>
  <c r="J59" i="9" s="1"/>
  <c r="PE30" i="25"/>
  <c r="PG30" i="25" s="1"/>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V30" i="25" s="1"/>
  <c r="NX30" i="25"/>
  <c r="AA14" i="9" s="1"/>
  <c r="OF30" i="25"/>
  <c r="AI14" i="9" s="1"/>
  <c r="OE30" i="25"/>
  <c r="AH14" i="9" s="1"/>
  <c r="D72" i="9"/>
  <c r="Q70" i="9"/>
  <c r="T69" i="9"/>
  <c r="T9" i="9"/>
  <c r="AD8" i="9"/>
  <c r="PW41" i="25"/>
  <c r="QB31" i="25"/>
  <c r="QB41" i="25"/>
  <c r="NW30" i="25"/>
  <c r="NO30" i="25"/>
  <c r="PW39" i="25"/>
  <c r="QB38" i="25"/>
  <c r="PP40" i="25"/>
  <c r="PG33" i="25"/>
  <c r="QB33" i="25"/>
  <c r="PP33" i="25"/>
  <c r="PP36" i="25"/>
  <c r="PW38" i="25"/>
  <c r="PW33" i="25"/>
  <c r="PW37" i="25"/>
  <c r="PP41" i="25"/>
  <c r="QB34" i="25"/>
  <c r="PW31" i="25"/>
  <c r="PP31" i="25"/>
  <c r="PP37" i="25"/>
  <c r="PP39" i="25"/>
  <c r="PP34" i="25"/>
  <c r="PW32" i="25"/>
  <c r="QB40" i="25"/>
  <c r="QB36" i="25"/>
  <c r="PW34" i="25"/>
  <c r="PW40" i="25"/>
  <c r="QB35" i="25"/>
  <c r="PP30" i="25"/>
  <c r="PW36" i="25"/>
  <c r="PW35" i="25"/>
  <c r="OH30" i="25"/>
  <c r="QB39" i="25"/>
  <c r="PP35" i="25"/>
  <c r="QB32" i="25"/>
  <c r="QB37" i="25"/>
  <c r="PG41" i="25"/>
  <c r="PP38" i="25"/>
  <c r="PW30" i="25"/>
  <c r="PP32" i="25"/>
  <c r="NZ30" i="25"/>
  <c r="QB30" i="25"/>
  <c r="PL41" i="25"/>
  <c r="PT41" i="25"/>
  <c r="PT40" i="25"/>
  <c r="PL40" i="25"/>
  <c r="PL39" i="25"/>
  <c r="PT39" i="25"/>
  <c r="PL38" i="25"/>
  <c r="PT38" i="25"/>
  <c r="PL37" i="25"/>
  <c r="PT37" i="25"/>
  <c r="PL36" i="25"/>
  <c r="PT36" i="25"/>
  <c r="PL35" i="25"/>
  <c r="PT35" i="25"/>
  <c r="PT34" i="25"/>
  <c r="PL34" i="25"/>
  <c r="PL33" i="25"/>
  <c r="PT33" i="25"/>
  <c r="PL32" i="25"/>
  <c r="PT32" i="25"/>
  <c r="PL31" i="25"/>
  <c r="PT31" i="25"/>
  <c r="PL30" i="25"/>
  <c r="PG36" i="25" l="1"/>
  <c r="PG35" i="25"/>
  <c r="L60" i="9" s="1"/>
  <c r="PG38" i="25"/>
  <c r="L63" i="9" s="1"/>
  <c r="PG37" i="25"/>
  <c r="L62" i="9" s="1"/>
  <c r="J57" i="9"/>
  <c r="PF32" i="25"/>
  <c r="K57" i="9" s="1"/>
  <c r="J56" i="9"/>
  <c r="PF31" i="25"/>
  <c r="K56" i="9" s="1"/>
  <c r="J55" i="9"/>
  <c r="PF30" i="25"/>
  <c r="K55" i="9" s="1"/>
  <c r="PE42" i="25"/>
  <c r="PG42" i="25" s="1"/>
  <c r="L56" i="9"/>
  <c r="L55" i="9"/>
  <c r="L58" i="9"/>
  <c r="L66"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0" i="25"/>
  <c r="PG39" i="25"/>
  <c r="PG34" i="25"/>
  <c r="L65" i="9" l="1"/>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30" i="25"/>
  <c r="PC35" i="25"/>
  <c r="PD38" i="25"/>
  <c r="PD36" i="25"/>
  <c r="PC41" i="25"/>
  <c r="PD31" i="25"/>
  <c r="PD40" i="25"/>
  <c r="PD37" i="25"/>
  <c r="PC36" i="25"/>
  <c r="PC32" i="25"/>
  <c r="PC38" i="25"/>
  <c r="PD35" i="25"/>
  <c r="PD32" i="25"/>
  <c r="PD30" i="25"/>
  <c r="PD34" i="25"/>
  <c r="PD41" i="25"/>
  <c r="PD39" i="25"/>
  <c r="PD33" i="25"/>
  <c r="PC34" i="25"/>
  <c r="PC37" i="25"/>
  <c r="PC39" i="25"/>
  <c r="PC40" i="25"/>
  <c r="PC31" i="25"/>
  <c r="PC33"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RK45" i="25" s="1"/>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V36" i="25" s="1"/>
  <c r="NR36" i="25"/>
  <c r="U20" i="9" s="1"/>
  <c r="NQ36" i="25"/>
  <c r="T20" i="9" s="1"/>
  <c r="OG32" i="25"/>
  <c r="AJ16" i="9" s="1"/>
  <c r="OF32" i="25"/>
  <c r="AI16" i="9" s="1"/>
  <c r="OE32" i="25"/>
  <c r="AH16" i="9" s="1"/>
  <c r="OD32" i="25"/>
  <c r="AG16" i="9" s="1"/>
  <c r="OA32" i="25"/>
  <c r="AD16" i="9" s="1"/>
  <c r="NX32" i="25"/>
  <c r="AA16" i="9" s="1"/>
  <c r="NU32" i="25"/>
  <c r="X16" i="9" s="1"/>
  <c r="NT32" i="25"/>
  <c r="NV32" i="25" s="1"/>
  <c r="NR32" i="25"/>
  <c r="U16" i="9" s="1"/>
  <c r="NQ32" i="25"/>
  <c r="T16" i="9" s="1"/>
  <c r="NS32" i="25"/>
  <c r="V16" i="9" s="1"/>
  <c r="OE41" i="25"/>
  <c r="AH25" i="9" s="1"/>
  <c r="OG41" i="25"/>
  <c r="AJ25" i="9" s="1"/>
  <c r="OD41" i="25"/>
  <c r="AG25" i="9" s="1"/>
  <c r="OA41" i="25"/>
  <c r="AD25" i="9" s="1"/>
  <c r="NU41" i="25"/>
  <c r="X25" i="9" s="1"/>
  <c r="NT41" i="25"/>
  <c r="NV41" i="25" s="1"/>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V35" i="25" s="1"/>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V37" i="25" s="1"/>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V38" i="25" s="1"/>
  <c r="NU38" i="25"/>
  <c r="X22" i="9" s="1"/>
  <c r="OE38" i="25"/>
  <c r="AH22" i="9" s="1"/>
  <c r="NQ38" i="25"/>
  <c r="T22" i="9" s="1"/>
  <c r="OD38" i="25"/>
  <c r="AG22" i="9" s="1"/>
  <c r="NS34" i="25"/>
  <c r="V18" i="9" s="1"/>
  <c r="OG34" i="25"/>
  <c r="AJ18" i="9" s="1"/>
  <c r="OF34" i="25"/>
  <c r="AI18" i="9" s="1"/>
  <c r="OE34" i="25"/>
  <c r="AH18" i="9" s="1"/>
  <c r="NX34" i="25"/>
  <c r="AA18" i="9" s="1"/>
  <c r="NT34" i="25"/>
  <c r="NV34" i="25" s="1"/>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46" i="25"/>
  <c r="NZ36" i="25"/>
  <c r="NW36" i="25"/>
  <c r="RK47" i="25"/>
  <c r="NV31" i="25"/>
  <c r="NZ33" i="25"/>
  <c r="NZ32" i="25"/>
  <c r="NO31" i="25"/>
  <c r="OH40" i="25"/>
  <c r="OH34" i="25"/>
  <c r="OH37" i="25"/>
  <c r="NO33" i="25"/>
  <c r="NW31" i="25"/>
  <c r="OH32" i="25"/>
  <c r="OH33" i="25"/>
  <c r="NZ35" i="25"/>
  <c r="NW41" i="25"/>
  <c r="NW38" i="25"/>
  <c r="NZ41" i="25"/>
  <c r="NZ38" i="25"/>
  <c r="RK55" i="25"/>
  <c r="NV39" i="25"/>
  <c r="RK52" i="25"/>
  <c r="NO41" i="25"/>
  <c r="OH39" i="25"/>
  <c r="NO36" i="25"/>
  <c r="NZ31" i="25"/>
  <c r="OH38" i="25"/>
  <c r="NZ39" i="25"/>
  <c r="NO39" i="25"/>
  <c r="NO40" i="25"/>
  <c r="NO34" i="25"/>
  <c r="NW37" i="25"/>
  <c r="OH36" i="25"/>
  <c r="NZ40" i="25"/>
  <c r="OH35" i="25"/>
  <c r="NV33" i="25"/>
  <c r="NW34" i="25"/>
  <c r="OH41" i="25"/>
  <c r="NZ37" i="25"/>
  <c r="NW32" i="25"/>
  <c r="NZ34" i="25"/>
  <c r="RK49" i="25"/>
  <c r="NW39" i="25"/>
  <c r="NO38" i="25"/>
  <c r="NO35" i="25"/>
  <c r="NW40" i="25"/>
  <c r="RK53" i="25"/>
  <c r="OH31" i="25"/>
  <c r="NO32" i="25"/>
  <c r="NW35" i="25"/>
  <c r="NO37" i="25"/>
  <c r="NW33" i="25"/>
  <c r="NV40" i="25"/>
  <c r="RK48" i="25" l="1"/>
  <c r="RK50" i="25"/>
  <c r="RK51" i="25"/>
  <c r="RK56" i="25"/>
  <c r="RK54" i="25"/>
  <c r="RL30" i="25" s="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1" i="25"/>
  <c r="QM39" i="25"/>
  <c r="QM30" i="25"/>
  <c r="QM33" i="25"/>
  <c r="QM41" i="25"/>
  <c r="QM32" i="25"/>
  <c r="QM35" i="25"/>
  <c r="QM34" i="25"/>
  <c r="QM38" i="25"/>
  <c r="QM36" i="25"/>
  <c r="QM40"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<sst xmlns="http://schemas.openxmlformats.org/spreadsheetml/2006/main" count="2929" uniqueCount="1996">
  <si>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</si>
  <si>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</si>
  <si>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</si>
  <si>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</si>
  <si>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</si>
  <si>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</si>
  <si>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</si>
  <si>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</si>
  <si>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</si>
  <si>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</si>
  <si>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</si>
  <si>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</si>
  <si>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</si>
  <si>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</si>
  <si>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</si>
  <si>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</si>
  <si>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</si>
  <si>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</si>
  <si>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</si>
  <si>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</si>
  <si>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</si>
  <si>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</si>
  <si>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</si>
  <si>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</si>
  <si>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</si>
  <si>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</si>
  <si>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</si>
  <si>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</si>
  <si>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</si>
  <si>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</si>
  <si>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</si>
  <si>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</si>
  <si>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</si>
  <si>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</si>
  <si>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</si>
  <si>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</si>
  <si>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</si>
  <si>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</si>
  <si>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</si>
  <si>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</si>
  <si>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</si>
  <si>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</si>
  <si>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</si>
  <si>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</si>
  <si>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</si>
  <si>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</si>
  <si>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</si>
  <si>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</si>
  <si>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</si>
  <si>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</si>
  <si>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</si>
  <si>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</si>
  <si>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</si>
  <si>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</si>
  <si>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</si>
  <si>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</si>
  <si>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</si>
  <si>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</si>
  <si>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</si>
  <si>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</si>
  <si>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</si>
  <si>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</si>
  <si>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</si>
  <si>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</si>
  <si>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</si>
  <si>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</si>
  <si>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</si>
  <si>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</si>
  <si>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</si>
  <si>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</si>
  <si>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</si>
  <si>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</si>
  <si>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</si>
  <si>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</si>
  <si>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</si>
  <si>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</si>
  <si>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</si>
  <si>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</si>
  <si>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</si>
  <si>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</si>
  <si>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</si>
  <si>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</si>
  <si>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</si>
  <si>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</si>
  <si>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</si>
  <si>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</si>
  <si>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</si>
  <si>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</si>
  <si>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</si>
  <si>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</si>
  <si>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</si>
  <si>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</si>
  <si>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</si>
  <si>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</si>
  <si>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</si>
  <si>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</si>
  <si>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</si>
  <si>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</si>
  <si>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</si>
  <si>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</si>
  <si>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</si>
  <si>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</si>
  <si>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</si>
  <si>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</si>
  <si>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</si>
  <si>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</si>
  <si>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</si>
  <si>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</si>
  <si>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</si>
  <si>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</si>
  <si>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</si>
  <si>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</si>
  <si>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</si>
  <si>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</si>
  <si>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</si>
  <si>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</si>
  <si>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</si>
  <si>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</si>
  <si>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</si>
  <si>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</si>
  <si>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</si>
  <si>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</si>
  <si>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</si>
  <si>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</si>
  <si>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</si>
  <si>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</si>
  <si>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</si>
  <si>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</si>
  <si>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</si>
  <si>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</si>
  <si>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</si>
  <si>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</si>
  <si>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</si>
  <si>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</si>
  <si>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</si>
  <si>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</si>
  <si>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</si>
  <si>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</si>
  <si>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</si>
  <si>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</si>
  <si>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</si>
  <si>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</si>
  <si>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</si>
  <si>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</si>
  <si>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</si>
  <si>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</si>
  <si>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</si>
  <si>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</si>
  <si>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</si>
  <si>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</si>
  <si>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</si>
  <si>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</si>
  <si>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</si>
  <si>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</si>
  <si>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</si>
  <si>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</si>
  <si>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</si>
  <si>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</si>
  <si>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</si>
  <si>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</si>
  <si>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</si>
  <si>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</si>
  <si>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</si>
  <si>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</si>
  <si>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</si>
  <si>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</si>
  <si>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</si>
  <si>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</si>
  <si>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</si>
  <si>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</si>
  <si>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</si>
  <si>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</si>
  <si>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</si>
  <si>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</si>
  <si>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</si>
  <si>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</si>
  <si>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</si>
  <si>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</si>
  <si>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</si>
  <si>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</si>
  <si>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</si>
  <si>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</si>
  <si>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</si>
  <si>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</si>
  <si>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</si>
  <si>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</si>
  <si>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</si>
  <si>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</si>
  <si>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</si>
  <si>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</si>
  <si>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</si>
  <si>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</si>
  <si>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</si>
  <si>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</si>
  <si>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</si>
  <si>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</si>
  <si>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</si>
  <si>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</si>
  <si>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</si>
  <si>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</si>
  <si>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</si>
  <si>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</si>
  <si>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</si>
  <si>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</si>
  <si>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</si>
  <si>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</si>
  <si>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</si>
  <si>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</si>
  <si>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</si>
  <si>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</si>
  <si>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</si>
  <si>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</si>
  <si>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</si>
  <si>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</si>
  <si>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</si>
  <si>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</si>
  <si>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</si>
  <si>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</si>
  <si>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</si>
  <si>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</si>
  <si>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</si>
  <si>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</si>
  <si>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</si>
  <si>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</si>
  <si>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</si>
  <si>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</si>
  <si>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</si>
  <si>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</si>
  <si>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</si>
  <si>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</si>
  <si>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</si>
  <si>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</si>
  <si>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</si>
  <si>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</si>
  <si>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</si>
  <si>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</si>
  <si>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</si>
  <si>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</si>
  <si>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</si>
  <si>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</si>
  <si>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</si>
  <si>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</si>
  <si>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</si>
  <si>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</si>
  <si>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</si>
  <si>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</si>
  <si>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</si>
  <si>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</si>
  <si>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</si>
  <si>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</si>
  <si>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</si>
  <si>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</si>
  <si>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</si>
  <si>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</si>
  <si>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</si>
  <si>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</si>
  <si>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</si>
  <si>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</si>
  <si>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</si>
  <si>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</si>
  <si>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</si>
  <si>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</si>
  <si>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</si>
  <si>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</si>
  <si>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</si>
  <si>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</si>
  <si>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</si>
  <si>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</si>
  <si>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</si>
  <si>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</si>
  <si>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</si>
  <si>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</si>
  <si>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</si>
  <si>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</si>
  <si>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</si>
  <si>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</si>
  <si>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</si>
  <si>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</si>
  <si>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</si>
  <si>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</si>
  <si>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</si>
  <si>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</si>
  <si>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</si>
  <si>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</si>
  <si>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</si>
  <si>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</si>
  <si>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</si>
  <si>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</si>
  <si>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</si>
  <si>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</si>
  <si>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</si>
  <si>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</si>
  <si>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</si>
  <si>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</si>
  <si>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</si>
  <si>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</si>
  <si>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</si>
  <si>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</si>
  <si>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</si>
  <si>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</si>
  <si>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</si>
  <si>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</si>
  <si>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</si>
  <si>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</si>
  <si>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</si>
  <si>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</si>
  <si>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</si>
  <si>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</si>
  <si>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</si>
  <si>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</si>
  <si>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</si>
  <si>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</si>
  <si>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</si>
  <si>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</si>
  <si>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</si>
  <si>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</si>
  <si>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</si>
  <si>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</si>
  <si>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</si>
  <si>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</si>
  <si>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</si>
  <si>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</si>
  <si>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</si>
  <si>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</si>
  <si>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</si>
  <si>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</si>
  <si>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</si>
  <si>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</si>
  <si>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</si>
  <si>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</si>
  <si>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</si>
  <si>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</si>
  <si>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</si>
  <si>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</si>
  <si>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</si>
  <si>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</si>
  <si>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</si>
  <si>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</si>
  <si>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</si>
  <si>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</si>
  <si>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</si>
  <si>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</si>
  <si>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</si>
  <si>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</si>
  <si>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</si>
  <si>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</si>
  <si>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</si>
  <si>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</si>
  <si>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</si>
  <si>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</si>
  <si>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</si>
  <si>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</si>
  <si>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</si>
  <si>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</si>
  <si>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</si>
  <si>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</si>
  <si>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</si>
  <si>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</si>
  <si>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</si>
  <si>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</si>
  <si>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</si>
  <si>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</si>
  <si>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</si>
  <si>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</si>
  <si>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</si>
  <si>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</si>
  <si>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</si>
  <si>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</si>
  <si>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</si>
  <si>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</si>
  <si>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</si>
  <si>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</si>
  <si>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</si>
  <si>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</si>
  <si>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</si>
  <si>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</si>
  <si>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</si>
  <si>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</si>
  <si>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</si>
  <si>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</si>
  <si>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</si>
  <si>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</si>
  <si>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</si>
  <si>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</si>
  <si>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</si>
  <si>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</si>
  <si>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</si>
  <si>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</si>
  <si>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</si>
  <si>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</si>
  <si>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</si>
  <si>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</si>
  <si>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</si>
  <si>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</si>
  <si>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</si>
  <si>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</si>
  <si>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</si>
  <si>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</si>
  <si>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</si>
  <si>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</si>
  <si>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</si>
  <si>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</si>
  <si>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</si>
  <si>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</si>
  <si>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</si>
  <si>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</si>
  <si>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</si>
  <si>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</si>
  <si>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</si>
  <si>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</si>
  <si>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</si>
  <si>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</si>
  <si>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</si>
  <si>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</si>
  <si>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</si>
  <si>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</si>
  <si>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</si>
  <si>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</si>
  <si>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</si>
  <si>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</si>
  <si>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</si>
  <si>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</si>
  <si>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</si>
  <si>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</si>
  <si>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</si>
  <si>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</si>
  <si>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</si>
  <si>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</si>
  <si>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</si>
  <si>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</si>
  <si>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</si>
  <si>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</si>
  <si>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</si>
  <si>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</si>
  <si>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</si>
  <si>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</si>
  <si>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</si>
  <si>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</si>
  <si>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</si>
  <si>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</si>
  <si>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</si>
  <si>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</si>
  <si>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</si>
  <si>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</si>
  <si>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</si>
  <si>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</si>
  <si>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</si>
  <si>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</si>
  <si>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</si>
  <si>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</si>
  <si>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</si>
  <si>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</si>
  <si>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</si>
  <si>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</si>
  <si>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</si>
  <si>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</si>
  <si>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</si>
  <si>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</si>
  <si>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</si>
  <si>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</si>
  <si>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</si>
  <si>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</si>
  <si>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</si>
  <si>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</si>
  <si>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</si>
  <si>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</si>
  <si>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</si>
  <si>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</si>
  <si>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</si>
  <si>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</si>
  <si>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</si>
  <si>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</si>
  <si>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</si>
  <si>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</si>
  <si>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</si>
  <si>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</si>
  <si>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</si>
  <si>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</si>
  <si>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</si>
  <si>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</si>
  <si>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</si>
  <si>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</si>
  <si>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</si>
  <si>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</si>
  <si>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</si>
  <si>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</si>
  <si>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</si>
  <si>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</si>
  <si>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</si>
  <si>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</si>
  <si>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</si>
  <si>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</si>
  <si>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</si>
  <si>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</si>
  <si>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</si>
  <si>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</si>
  <si>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</si>
  <si>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</si>
  <si>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</si>
  <si>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</si>
  <si>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</si>
  <si>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</si>
  <si>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</si>
  <si>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</si>
  <si>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</si>
  <si>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</si>
  <si>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</si>
  <si>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</si>
  <si>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</si>
  <si>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</si>
  <si>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</si>
  <si>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</si>
  <si>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</si>
  <si>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</si>
  <si>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</si>
  <si>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</si>
  <si>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</si>
  <si>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</si>
  <si>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</si>
  <si>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</si>
  <si>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</si>
  <si>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</si>
  <si>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</si>
  <si>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</si>
  <si>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</si>
  <si>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</si>
  <si>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</si>
  <si>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</si>
  <si>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</si>
  <si>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</si>
  <si>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</si>
  <si>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</si>
  <si>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</si>
  <si>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</si>
  <si>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</si>
  <si>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</si>
  <si>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</si>
  <si>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</si>
  <si>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</si>
  <si>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</si>
  <si>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</si>
  <si>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</si>
  <si>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</si>
  <si>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</si>
  <si>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</si>
  <si>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</si>
  <si>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</si>
  <si>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</si>
  <si>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</si>
  <si>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</si>
  <si>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</si>
  <si>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</si>
  <si>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</si>
  <si>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</si>
  <si>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</si>
  <si>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</si>
  <si>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</si>
  <si>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</si>
  <si>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</si>
  <si>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</si>
  <si>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</si>
  <si>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</si>
  <si>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</si>
  <si>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</si>
  <si>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</si>
  <si>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</si>
  <si>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</si>
  <si>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</si>
  <si>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</si>
  <si>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</si>
  <si>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</si>
  <si>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</si>
  <si>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</si>
  <si>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</si>
  <si>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</si>
  <si>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</si>
  <si>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</si>
  <si>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</si>
  <si>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</si>
  <si>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</si>
  <si>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</si>
  <si>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</si>
  <si>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</si>
  <si>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</si>
  <si>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</si>
  <si>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</si>
  <si>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</si>
  <si>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</si>
  <si>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</si>
  <si>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</si>
  <si>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</si>
  <si>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</si>
  <si>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</si>
  <si>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</si>
  <si>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</si>
  <si>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</si>
  <si>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</si>
  <si>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</si>
  <si>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</si>
  <si>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</si>
  <si>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</si>
  <si>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</si>
  <si>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</si>
  <si>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</si>
  <si>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</si>
  <si>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</si>
  <si>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</si>
  <si>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</si>
  <si>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</si>
  <si>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</si>
  <si>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</si>
  <si>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</si>
  <si>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</si>
  <si>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</si>
  <si>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</si>
  <si>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</si>
  <si>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</si>
  <si>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</si>
  <si>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</si>
  <si>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</si>
  <si>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</si>
  <si>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</si>
  <si>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</si>
  <si>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</si>
  <si>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</si>
  <si>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</si>
  <si>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</si>
  <si>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</si>
  <si>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</si>
  <si>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</si>
  <si>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</si>
  <si>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</si>
  <si>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</si>
  <si>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</si>
  <si>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</si>
  <si>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</si>
  <si>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</si>
  <si>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</si>
  <si>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</si>
  <si>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</si>
  <si>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</si>
  <si>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</si>
  <si>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</si>
  <si>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</si>
  <si>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</si>
  <si>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</si>
  <si>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</si>
  <si>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</si>
  <si>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</si>
  <si>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</si>
  <si>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</si>
  <si>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</si>
  <si>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</si>
  <si>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</si>
  <si>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</si>
  <si>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</si>
  <si>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</si>
  <si>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</si>
  <si>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</si>
  <si>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</si>
  <si>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</si>
  <si>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</si>
  <si>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</si>
  <si>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</si>
  <si>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</si>
  <si>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</si>
  <si>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</si>
  <si>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</si>
  <si>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</si>
  <si>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</si>
  <si>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</si>
  <si>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</si>
  <si>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</si>
  <si>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</si>
  <si>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</si>
  <si>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</si>
  <si>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</si>
  <si>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</si>
  <si>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</si>
  <si>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</si>
  <si>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</si>
  <si>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</si>
  <si>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</si>
  <si>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</si>
  <si>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</si>
  <si>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</si>
  <si>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</si>
  <si>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</si>
  <si>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</si>
  <si>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</si>
  <si>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</si>
  <si>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</si>
  <si>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</si>
  <si>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</si>
  <si>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</si>
  <si>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</si>
  <si>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</si>
  <si>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</si>
  <si>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</si>
  <si>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</si>
  <si>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</si>
  <si>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</si>
  <si>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</si>
  <si>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</si>
  <si>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</si>
  <si>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</si>
  <si>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</si>
  <si>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</si>
  <si>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</si>
  <si>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</si>
  <si>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</si>
  <si>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</si>
  <si>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</si>
  <si>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</si>
  <si>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</si>
  <si>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</si>
  <si>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</si>
  <si>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</si>
  <si>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</si>
  <si>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</si>
  <si>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</si>
  <si>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</si>
  <si>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</si>
  <si>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</si>
  <si>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</si>
  <si>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</si>
  <si>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</si>
  <si>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</si>
  <si>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</si>
  <si>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</si>
  <si>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</si>
  <si>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</si>
  <si>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</si>
  <si>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</si>
  <si>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</si>
  <si>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</si>
  <si>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</si>
  <si>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</si>
  <si>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</si>
  <si>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</si>
  <si>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</si>
  <si>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</si>
  <si>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</si>
  <si>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</si>
  <si>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</si>
  <si>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</si>
  <si>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</si>
  <si>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</si>
  <si>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</si>
  <si>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</si>
  <si>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</si>
  <si>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</si>
  <si>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</si>
  <si>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</si>
  <si>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</si>
  <si>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</si>
  <si>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</si>
  <si>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</si>
  <si>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</si>
  <si>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</si>
  <si>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</si>
  <si>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</si>
  <si>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</si>
  <si>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</si>
  <si>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</si>
  <si>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</si>
  <si>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</si>
  <si>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</si>
  <si>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</si>
  <si>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</si>
  <si>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</si>
  <si>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</si>
  <si>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</si>
  <si>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</si>
  <si>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</si>
  <si>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</si>
  <si>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</si>
  <si>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</si>
  <si>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</si>
  <si>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</si>
  <si>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</si>
  <si>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</si>
  <si>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</si>
  <si>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</si>
  <si>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</si>
  <si>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</si>
  <si>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</si>
  <si>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</si>
  <si>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</si>
  <si>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</si>
  <si>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</si>
  <si>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</si>
  <si>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</si>
  <si>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</si>
  <si>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</si>
  <si>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</si>
  <si>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</si>
  <si>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</si>
  <si>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</si>
  <si>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</si>
  <si>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</si>
  <si>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</si>
  <si>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</si>
  <si>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</si>
  <si>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</si>
  <si>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</si>
  <si>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</si>
  <si>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</si>
  <si>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</si>
  <si>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</si>
  <si>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</si>
  <si>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</si>
  <si>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</si>
  <si>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</si>
  <si>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</si>
  <si>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</si>
  <si>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</si>
  <si>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</si>
  <si>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</si>
  <si>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</si>
  <si>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</si>
  <si>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</si>
  <si>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</si>
  <si>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</si>
  <si>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</si>
  <si>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</si>
  <si>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</si>
  <si>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</si>
  <si>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</si>
  <si>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</si>
  <si>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</si>
  <si>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</si>
  <si>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</si>
  <si>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</si>
  <si>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</si>
  <si>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</si>
  <si>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</si>
  <si>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</si>
  <si>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</si>
  <si>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</si>
  <si>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</si>
  <si>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</si>
  <si>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</si>
  <si>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</si>
  <si>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</si>
  <si>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</si>
  <si>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</si>
  <si>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</si>
  <si>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</si>
  <si>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</si>
  <si>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</si>
  <si>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</si>
  <si>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</si>
  <si>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</si>
  <si>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</si>
  <si>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</si>
  <si>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</si>
  <si>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</si>
  <si>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</si>
  <si>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</si>
  <si>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</si>
  <si>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</si>
  <si>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</si>
  <si>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</si>
  <si>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</si>
  <si>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</si>
  <si>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</si>
  <si>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</si>
  <si>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</si>
  <si>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</si>
  <si>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</si>
  <si>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</si>
  <si>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</si>
  <si>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</si>
  <si>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</si>
  <si>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</si>
  <si>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</si>
  <si>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</si>
  <si>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</si>
  <si>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</si>
  <si>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</si>
  <si>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</si>
  <si>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</si>
  <si>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</si>
  <si>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</si>
  <si>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</si>
  <si>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</si>
  <si>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</si>
  <si>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</si>
  <si>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</si>
  <si>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</si>
  <si>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</si>
  <si>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</si>
  <si>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</si>
  <si>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</si>
  <si>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</si>
  <si>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</si>
  <si>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</si>
  <si>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</si>
  <si>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</si>
  <si>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</si>
  <si>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</si>
  <si>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</si>
  <si>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</si>
  <si>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</si>
  <si>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</si>
  <si>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</si>
  <si>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</si>
  <si>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</si>
  <si>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</si>
  <si>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</si>
  <si>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</si>
  <si>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</si>
  <si>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</si>
  <si>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</si>
  <si>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</si>
  <si>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</si>
  <si>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</si>
  <si>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</si>
  <si>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</si>
  <si>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</si>
  <si>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</si>
  <si>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</si>
  <si>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</si>
  <si>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</si>
  <si>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</si>
  <si>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</si>
  <si>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</si>
  <si>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</si>
  <si>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</si>
  <si>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</si>
  <si>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</si>
  <si>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</si>
  <si>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</si>
  <si>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</si>
  <si>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</si>
  <si>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</si>
  <si>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</si>
  <si>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</si>
  <si>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</si>
  <si>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</si>
  <si>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</si>
  <si>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</si>
  <si>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</si>
  <si>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</si>
  <si>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</si>
  <si>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</si>
  <si>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</si>
  <si>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</si>
  <si>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</si>
  <si>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</si>
  <si>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</si>
  <si>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</si>
  <si>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</si>
  <si>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</si>
  <si>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</si>
  <si>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</si>
  <si>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</si>
  <si>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</si>
  <si>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</si>
  <si>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</si>
  <si>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</si>
  <si>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</si>
  <si>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</si>
  <si>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</si>
  <si>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</si>
  <si>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</si>
  <si>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</si>
  <si>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</si>
  <si>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</si>
  <si>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</si>
  <si>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</si>
  <si>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</si>
  <si>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</si>
  <si>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</si>
  <si>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</si>
  <si>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</si>
  <si>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</si>
  <si>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</si>
  <si>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</si>
  <si>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</si>
  <si>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</si>
  <si>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</si>
  <si>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</si>
  <si>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</si>
  <si>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</si>
  <si>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</si>
  <si>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</si>
  <si>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</si>
  <si>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</si>
  <si>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</si>
  <si>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</si>
  <si>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</si>
  <si>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</si>
  <si>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</si>
  <si>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</si>
  <si>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</si>
  <si>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</si>
  <si>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</si>
  <si>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</si>
  <si>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</si>
  <si>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</si>
  <si>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</si>
  <si>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</si>
  <si>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</si>
  <si>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</si>
  <si>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</si>
  <si>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</si>
  <si>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</si>
  <si>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</si>
  <si>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</si>
  <si>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</si>
  <si>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</si>
  <si>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</si>
  <si>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</si>
  <si>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</si>
  <si>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</si>
  <si>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</si>
  <si>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</si>
  <si>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</si>
  <si>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</si>
  <si>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</si>
  <si>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</si>
  <si>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</si>
  <si>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</si>
  <si>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</si>
  <si>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</si>
  <si>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</si>
  <si>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</si>
  <si>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</si>
  <si>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</si>
  <si>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</si>
  <si>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</si>
  <si>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</si>
  <si>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</si>
  <si>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</si>
  <si>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</si>
  <si>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</si>
  <si>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</si>
  <si>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</si>
  <si>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</si>
  <si>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</si>
  <si>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</si>
  <si>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</si>
  <si>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</si>
  <si>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</si>
  <si>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</si>
  <si>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</si>
  <si>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</si>
  <si>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</si>
  <si>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</si>
  <si>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</si>
  <si>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</si>
  <si>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</si>
  <si>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</si>
  <si>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</si>
  <si>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</si>
  <si>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</si>
  <si>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</si>
  <si>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</si>
  <si>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</si>
  <si>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</si>
  <si>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</si>
  <si>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</si>
  <si>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</si>
  <si>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</si>
  <si>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</si>
  <si>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</si>
  <si>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</si>
  <si>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</si>
  <si>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</si>
  <si>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</si>
  <si>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</si>
  <si>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</si>
  <si>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</si>
  <si>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</si>
  <si>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</si>
  <si>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</si>
  <si>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</si>
  <si>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</si>
  <si>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</si>
  <si>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</si>
  <si>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</si>
  <si>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</si>
  <si>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</si>
  <si>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</si>
  <si>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</si>
  <si>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</si>
  <si>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</si>
  <si>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</si>
  <si>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</si>
  <si>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</si>
  <si>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</si>
  <si>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</si>
  <si>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</si>
  <si>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</si>
  <si>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</si>
  <si>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</si>
  <si>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</si>
  <si>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</si>
  <si>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</si>
  <si>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</si>
  <si>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</si>
  <si>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</si>
  <si>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</si>
  <si>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</si>
  <si>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</si>
  <si>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</si>
  <si>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</si>
  <si>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</si>
  <si>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</si>
  <si>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</si>
  <si>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</si>
  <si>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</si>
  <si>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</si>
  <si>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</si>
  <si>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</si>
  <si>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</si>
  <si>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</si>
  <si>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</si>
  <si>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</si>
  <si>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</si>
  <si>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</si>
  <si>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</si>
  <si>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</si>
  <si>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</si>
  <si>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</si>
  <si>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</si>
  <si>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</si>
  <si>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</si>
  <si>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</si>
  <si>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</si>
  <si>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</si>
  <si>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</si>
  <si>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</si>
  <si>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</si>
  <si>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</si>
  <si>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</si>
  <si>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</si>
  <si>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</si>
  <si>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</si>
  <si>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</si>
  <si>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</si>
  <si>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</si>
  <si>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</si>
  <si>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</si>
  <si>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</si>
  <si>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</si>
  <si>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</si>
  <si>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</si>
  <si>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</si>
  <si>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</si>
  <si>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</si>
  <si>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</si>
  <si>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</si>
  <si>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</si>
  <si>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</si>
  <si>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</si>
  <si>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</si>
  <si>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</si>
  <si>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</si>
  <si>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</si>
  <si>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</si>
  <si>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</si>
  <si>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</si>
  <si>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</si>
  <si>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</si>
  <si>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</si>
  <si>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</si>
  <si>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</si>
  <si>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</si>
  <si>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</si>
  <si>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</si>
  <si>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</si>
  <si>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</si>
  <si>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</si>
  <si>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</si>
  <si>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</si>
  <si>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</si>
  <si>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</si>
  <si>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</si>
  <si>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</si>
  <si>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</si>
  <si>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</si>
  <si>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</si>
  <si>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</si>
  <si>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</si>
  <si>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</si>
  <si>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</si>
  <si>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</si>
  <si>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</si>
  <si>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</si>
  <si>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</si>
  <si>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</si>
  <si>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</si>
  <si>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</si>
  <si>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</si>
  <si>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</si>
  <si>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</si>
  <si>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</si>
  <si>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</si>
  <si>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</si>
  <si>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</si>
  <si>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</si>
  <si>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</si>
  <si>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</si>
  <si>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</si>
  <si>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</si>
  <si>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</si>
  <si>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</si>
  <si>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</si>
  <si>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</si>
  <si>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</si>
  <si>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</si>
  <si>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</si>
  <si>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</si>
  <si>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</si>
  <si>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</si>
  <si>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</si>
  <si>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</si>
  <si>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</si>
  <si>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</si>
  <si>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</si>
  <si>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</si>
  <si>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</si>
  <si>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</si>
  <si>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</si>
  <si>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</si>
  <si>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</si>
  <si>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</si>
  <si>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</si>
  <si>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</si>
  <si>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</si>
  <si>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</si>
  <si>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</si>
  <si>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</si>
  <si>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</si>
  <si>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</si>
  <si>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</si>
  <si>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</si>
  <si>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</si>
  <si>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</si>
  <si>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</si>
  <si>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</si>
  <si>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</si>
  <si>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</si>
  <si>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</si>
  <si>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</si>
  <si>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</si>
  <si>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</si>
  <si>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</si>
  <si>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</si>
  <si>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</si>
  <si>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</si>
  <si>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</si>
  <si>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</si>
  <si>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</si>
  <si>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</si>
  <si>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</si>
  <si>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</si>
  <si>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</si>
  <si>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</si>
  <si>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</si>
  <si>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</si>
  <si>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</si>
  <si>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</si>
  <si>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</si>
  <si>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</si>
  <si>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</si>
  <si>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</si>
  <si>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</si>
  <si>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</si>
  <si>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</si>
  <si>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</si>
  <si>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</si>
  <si>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</si>
  <si>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</si>
  <si>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</si>
  <si>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</si>
  <si>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</si>
  <si>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</si>
  <si>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</si>
  <si>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</si>
  <si>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</si>
  <si>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</si>
  <si>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</si>
  <si>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</si>
  <si>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</si>
  <si>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</si>
  <si>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</si>
  <si>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</si>
  <si>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</si>
  <si>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</si>
  <si>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</si>
  <si>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</si>
  <si>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</si>
  <si>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</si>
  <si>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</si>
  <si>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</si>
  <si>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</si>
  <si>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</si>
  <si>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</si>
  <si>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</si>
  <si>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</si>
  <si>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</si>
  <si>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</si>
  <si>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</si>
  <si>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</si>
  <si>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</si>
  <si>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</si>
  <si>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</si>
  <si>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</si>
  <si>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</si>
  <si>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</si>
  <si>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</si>
  <si>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</si>
  <si>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</si>
  <si>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</si>
  <si>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</si>
  <si>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</si>
  <si>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</si>
  <si>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</si>
  <si>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</si>
  <si>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</si>
  <si>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</si>
  <si>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</si>
  <si>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</si>
  <si>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</si>
  <si>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</si>
  <si>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</si>
  <si>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</si>
  <si>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</si>
  <si>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</si>
  <si>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</si>
  <si>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</si>
  <si>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</si>
  <si>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</si>
  <si>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</si>
  <si>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</si>
  <si>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</si>
  <si>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</si>
  <si>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</si>
  <si>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</si>
  <si>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</si>
  <si>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</si>
  <si>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</si>
  <si>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</si>
  <si>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</si>
  <si>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</si>
  <si>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</si>
  <si>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</si>
  <si>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</si>
  <si>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</si>
  <si>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</si>
  <si>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</si>
  <si>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</si>
  <si>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</si>
  <si>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</si>
  <si>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</si>
  <si>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</si>
  <si>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</si>
  <si>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</si>
  <si>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</si>
  <si>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</si>
  <si>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</si>
  <si>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</si>
  <si>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</si>
  <si>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</si>
  <si>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</si>
  <si>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</si>
  <si>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</si>
  <si>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</si>
  <si>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</si>
  <si>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</si>
  <si>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</si>
  <si>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</si>
  <si>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</si>
  <si>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</si>
  <si>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</si>
  <si>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</si>
  <si>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</si>
  <si>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</si>
  <si>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</si>
  <si>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</si>
  <si>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</si>
  <si>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</si>
  <si>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</si>
  <si>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</si>
  <si>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</si>
  <si>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</si>
  <si>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</si>
  <si>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</si>
  <si>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</si>
  <si>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</si>
  <si>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</si>
  <si>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</si>
  <si>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</si>
  <si>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</si>
  <si>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</si>
  <si>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</si>
  <si>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</si>
  <si>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</si>
  <si>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</si>
  <si>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</si>
  <si>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</si>
  <si>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</si>
  <si>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</si>
  <si>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</si>
  <si>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</si>
  <si>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</si>
  <si>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</si>
  <si>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</si>
  <si>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</si>
  <si>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</si>
  <si>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</si>
  <si>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</si>
  <si>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</si>
  <si>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</si>
  <si>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</si>
  <si>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</si>
  <si>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</si>
  <si>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</si>
  <si>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</si>
  <si>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</si>
  <si>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</si>
  <si>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</si>
  <si>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</si>
  <si>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</si>
  <si>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</si>
  <si>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</si>
  <si>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</si>
  <si>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</si>
  <si>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</si>
  <si>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</si>
  <si>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</si>
  <si>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</si>
  <si>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</si>
  <si>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</si>
  <si>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</si>
  <si>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</si>
  <si>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</si>
  <si>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</si>
  <si>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</si>
  <si>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</si>
  <si>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</si>
  <si>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</si>
  <si>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</si>
  <si>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</si>
  <si>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</si>
  <si>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</si>
  <si>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</si>
  <si>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</si>
  <si>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</si>
  <si>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</si>
  <si>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</si>
  <si>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</si>
  <si>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</si>
  <si>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</si>
  <si>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</si>
  <si>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</si>
  <si>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</si>
  <si>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</si>
  <si>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</si>
  <si>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</si>
  <si>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</si>
  <si>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</si>
  <si>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</si>
  <si>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</si>
  <si>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</si>
  <si>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</si>
  <si>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</si>
  <si>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</si>
  <si>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</si>
  <si>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</si>
  <si>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</si>
  <si>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</si>
  <si>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</si>
  <si>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</si>
  <si>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</si>
  <si>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</si>
  <si>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</si>
  <si>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</si>
  <si>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</si>
  <si>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</si>
  <si>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</si>
  <si>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</si>
  <si>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</si>
  <si>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</si>
  <si>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</si>
  <si>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</si>
  <si>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</si>
  <si>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</si>
  <si>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</si>
  <si>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</si>
  <si>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</si>
  <si>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</si>
  <si>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</si>
  <si>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</si>
  <si>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</si>
  <si>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</si>
  <si>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</si>
  <si>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</si>
  <si>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</si>
  <si>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</si>
  <si>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</si>
  <si>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</si>
  <si>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</si>
  <si>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</si>
  <si>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</si>
  <si>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</si>
  <si>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</si>
  <si>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</si>
  <si>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</si>
  <si>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</si>
  <si>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</si>
  <si>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</si>
  <si>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</si>
  <si>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</si>
  <si>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</si>
  <si>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</si>
  <si>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</si>
  <si>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</si>
  <si>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</si>
  <si>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</si>
  <si>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</si>
  <si>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</si>
  <si>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</si>
  <si>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</si>
  <si>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</si>
  <si>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</si>
  <si>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</si>
  <si>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</si>
  <si>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</si>
  <si>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</si>
  <si>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</si>
  <si>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</si>
  <si>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</si>
  <si>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</si>
  <si>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</si>
  <si>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</si>
  <si>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</si>
  <si>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</si>
  <si>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</si>
  <si>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</si>
  <si>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</si>
  <si>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</si>
  <si>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</si>
  <si>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</si>
  <si>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</si>
  <si>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</si>
  <si>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</si>
  <si>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</si>
  <si>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</si>
  <si>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</si>
  <si>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</si>
  <si>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</si>
  <si>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</si>
  <si>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</si>
  <si>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</si>
  <si>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</si>
  <si>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</si>
  <si>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</si>
  <si>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</si>
  <si>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</si>
  <si>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</si>
  <si>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</si>
  <si>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</si>
  <si>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</si>
  <si>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</si>
  <si>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</si>
  <si>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</si>
  <si>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</si>
  <si>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</si>
  <si>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</si>
  <si>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</si>
  <si>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</si>
  <si>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</si>
  <si>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</si>
  <si>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</si>
  <si>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</si>
  <si>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</si>
  <si>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</si>
  <si>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</si>
  <si>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</si>
  <si>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</si>
  <si>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</si>
  <si>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</si>
  <si>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</si>
  <si>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</si>
  <si>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</si>
  <si>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</si>
  <si>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</si>
  <si>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</si>
  <si>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</si>
  <si>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</si>
  <si>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</si>
  <si>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</si>
  <si>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</si>
  <si>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</si>
  <si>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</si>
  <si>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</si>
  <si>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</si>
  <si>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</si>
  <si>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</si>
  <si>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</si>
  <si>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</si>
  <si>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</si>
  <si>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</si>
  <si>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</si>
  <si>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</si>
  <si>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</si>
  <si>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</si>
  <si>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</si>
  <si>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</si>
  <si>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</si>
  <si>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</si>
  <si>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</si>
  <si>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</si>
  <si>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</si>
  <si>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</si>
  <si>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</si>
  <si>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</si>
  <si>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</si>
  <si>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</si>
  <si>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</si>
  <si>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</si>
  <si>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</si>
  <si>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</si>
  <si>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</si>
  <si>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</si>
  <si>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</si>
  <si>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</si>
  <si>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</si>
  <si>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</si>
  <si>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</si>
  <si>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</si>
  <si>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</si>
  <si>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</si>
  <si>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</si>
  <si>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</si>
  <si>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</si>
  <si>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</si>
  <si>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</si>
  <si>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</si>
  <si>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</si>
  <si>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</si>
  <si>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</si>
  <si>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</si>
  <si>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</si>
  <si>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</si>
  <si>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</si>
  <si>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</si>
  <si>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</si>
  <si>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</si>
  <si>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</si>
  <si>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</si>
  <si>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</si>
  <si>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</si>
  <si>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</si>
  <si>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</si>
  <si>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</si>
  <si>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</si>
  <si>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</si>
  <si>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</si>
  <si>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</si>
  <si>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</si>
  <si>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</si>
  <si>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</si>
  <si>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</si>
  <si>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</si>
  <si>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</si>
  <si>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</si>
  <si>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</si>
  <si>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</si>
  <si>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</si>
  <si>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</si>
  <si>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</si>
  <si>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</si>
  <si>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</si>
  <si>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</si>
  <si>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</si>
  <si>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</si>
  <si>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</si>
  <si>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</si>
  <si>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</si>
  <si>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</si>
  <si>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</si>
  <si>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</si>
  <si>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</si>
  <si>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</si>
  <si>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</si>
  <si>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</si>
  <si>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</si>
  <si>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</si>
  <si>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</si>
  <si>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</si>
  <si>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</si>
  <si>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</si>
  <si>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</si>
  <si>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</si>
  <si>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</si>
  <si>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</si>
  <si>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</si>
  <si>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</si>
  <si>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</si>
  <si>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</si>
  <si>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</si>
  <si>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</si>
  <si>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</si>
  <si>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</si>
  <si>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</si>
  <si>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</si>
  <si>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</si>
  <si>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</si>
  <si>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</si>
  <si>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</si>
  <si>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</si>
  <si>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</si>
  <si>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</si>
  <si>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</si>
  <si>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</si>
  <si>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</si>
  <si>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</si>
  <si>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</si>
  <si>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</si>
  <si>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</si>
  <si>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</si>
  <si>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</si>
  <si>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</si>
  <si>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</si>
  <si>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</si>
  <si>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</si>
  <si>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</si>
  <si>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</si>
  <si>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</si>
  <si>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</si>
  <si>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</si>
  <si>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</si>
  <si>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</si>
  <si>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</si>
  <si>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</si>
  <si>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</si>
  <si>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</si>
  <si>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</si>
  <si>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</si>
  <si>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</si>
  <si>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</si>
  <si>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</si>
  <si>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</si>
  <si>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</si>
  <si>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</si>
  <si>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</si>
  <si>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</si>
  <si>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</si>
  <si>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</si>
  <si>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</si>
  <si>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</si>
  <si>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</si>
  <si>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</si>
  <si>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</si>
  <si>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</si>
  <si>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</si>
  <si>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</si>
  <si>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</si>
  <si>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</si>
  <si>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</si>
  <si>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</si>
  <si>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</si>
  <si>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</si>
  <si>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</si>
  <si>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</si>
  <si>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</si>
  <si>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</si>
  <si>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</si>
  <si>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</si>
  <si>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</si>
  <si>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</si>
  <si>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</si>
  <si>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</si>
  <si>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</si>
  <si>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</si>
  <si>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</si>
  <si>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</si>
  <si>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</si>
  <si>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</si>
  <si>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</si>
  <si>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</si>
  <si>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</si>
  <si>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</si>
  <si>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</si>
  <si>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</si>
  <si>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</si>
  <si>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</si>
  <si>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</si>
  <si>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</si>
  <si>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</si>
  <si>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</si>
  <si>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</si>
  <si>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</si>
  <si>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</si>
  <si>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</si>
  <si>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</si>
  <si>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</si>
  <si>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</si>
  <si>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</si>
  <si>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</si>
  <si>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</si>
  <si>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</si>
  <si>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</si>
  <si>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</si>
  <si>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</si>
  <si>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</si>
  <si>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</si>
  <si>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</si>
  <si>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</si>
  <si>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</si>
  <si>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</si>
  <si>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</si>
  <si>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</si>
  <si>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</si>
  <si>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</si>
  <si>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</si>
  <si>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</si>
  <si>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</si>
  <si>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</si>
  <si>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</si>
  <si>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</si>
  <si>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</si>
  <si>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</si>
  <si>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</si>
  <si>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</si>
  <si>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</si>
  <si>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</si>
  <si>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</si>
  <si>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</si>
  <si>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</si>
  <si>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</si>
  <si>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</si>
  <si>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</si>
  <si>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</si>
  <si>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</si>
  <si>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</si>
  <si>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</si>
  <si>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</si>
  <si>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</si>
  <si>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</si>
  <si>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</si>
  <si>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</si>
  <si>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</si>
  <si>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</si>
  <si>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</si>
  <si>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</si>
  <si>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</si>
  <si>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</si>
  <si>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</si>
  <si>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</si>
  <si>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</si>
  <si>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</si>
  <si>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</si>
  <si>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</si>
  <si>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</si>
  <si>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</si>
  <si>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</si>
  <si>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</si>
  <si>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</si>
  <si>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</si>
  <si>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</si>
  <si>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</si>
  <si>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</si>
  <si>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</si>
  <si>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</si>
  <si>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</si>
  <si>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</si>
  <si>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</si>
  <si>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</si>
  <si>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</si>
  <si>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</si>
  <si>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</si>
  <si>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</si>
  <si>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</si>
  <si>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</si>
  <si>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</si>
  <si>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</si>
  <si>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</si>
  <si>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</si>
  <si>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</si>
  <si>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</si>
  <si>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</si>
  <si>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</si>
  <si>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</si>
  <si>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</si>
  <si>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</si>
  <si>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</si>
  <si>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</si>
  <si>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</si>
  <si>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</si>
  <si>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</si>
  <si>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</si>
  <si>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</si>
  <si>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</si>
  <si>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</si>
  <si>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</si>
  <si>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</si>
  <si>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</si>
  <si>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</si>
  <si>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</si>
  <si>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</si>
  <si>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</si>
  <si>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</si>
  <si>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</si>
  <si>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</si>
  <si>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</si>
  <si>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</si>
  <si>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</si>
  <si>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</si>
  <si>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</si>
  <si>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</si>
  <si>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</si>
  <si>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</si>
  <si>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</si>
  <si>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</si>
  <si>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</si>
  <si>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</si>
  <si>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</si>
  <si>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</si>
  <si>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</si>
  <si>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</si>
  <si>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</si>
  <si>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</si>
  <si>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</si>
  <si>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</si>
  <si>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</si>
  <si>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</si>
  <si>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</si>
  <si>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</si>
  <si>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</si>
  <si>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</si>
  <si>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</si>
  <si>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</si>
  <si>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</si>
  <si>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</si>
  <si>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</si>
  <si>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</si>
  <si>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</si>
  <si>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</si>
  <si>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</si>
  <si>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</si>
  <si>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</si>
  <si>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</si>
  <si>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</si>
  <si>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</si>
  <si>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</si>
  <si>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</si>
  <si>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</si>
  <si>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</si>
  <si>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</si>
  <si>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</si>
  <si>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</si>
  <si>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Tue Oct 15 14:39:20 2024</t>
  </si>
  <si>
    <t>fx0280</t>
  </si>
  <si>
    <t>loop4, 1</t>
  </si>
  <si>
    <t>LABEL-FAPP-cpupa</t>
  </si>
  <si>
    <t>Level</t>
  </si>
  <si>
    <t>Spawn</t>
  </si>
  <si>
    <t>Thread</t>
  </si>
  <si>
    <t>Region_name</t>
  </si>
  <si>
    <t>Region_number</t>
  </si>
  <si>
    <t>Call</t>
  </si>
  <si>
    <t>CNTVCT</t>
  </si>
  <si>
    <t>PMCCNTR</t>
  </si>
  <si>
    <t>0x0017</t>
  </si>
  <si>
    <t>0x0018</t>
  </si>
  <si>
    <t>0x0325</t>
  </si>
  <si>
    <t>0x0326</t>
  </si>
  <si>
    <t>FAPP-cpupa</t>
  </si>
  <si>
    <t>loop4</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</si>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</sst>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0.47727933693294911</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5.2193531822290001E-2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0.35323036254772533</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0</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0</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0</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51939324116742"/>
          <c:y val="0.12364557681679539"/>
          <c:w val="0.643462621607783"/>
          <c:h val="0.6531341628156799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4.8371470026456531E-2</c:v>
                </c:pt>
                <c:pt idx="1">
                  <c:v>7.778186561622596E-3</c:v>
                </c:pt>
              </c:numCache>
            </c:numRef>
          </c:val>
          <c:extLst>
            <c:ext xmlns:c16="http://schemas.microsoft.com/office/drawing/2014/chart" uri="{C3380CC4-5D6E-409C-BE32-E72D297353CC}">
              <c16:uniqueId val="{00000000-DF0A-40AC-B80C-339429C6C62E}"/>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0.10640687181425047</c:v>
                </c:pt>
                <c:pt idx="1">
                  <c:v>9.8868093162939347E-2</c:v>
                </c:pt>
              </c:numCache>
            </c:numRef>
          </c:val>
          <c:extLst>
            <c:ext xmlns:c16="http://schemas.microsoft.com/office/drawing/2014/chart" uri="{C3380CC4-5D6E-409C-BE32-E72D297353CC}">
              <c16:uniqueId val="{00000001-DF0A-40AC-B80C-339429C6C62E}"/>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523511945277417"/>
          <c:w val="0.97521287569833948"/>
          <c:h val="0.1494431638222149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data!$TS$42:$TS$54</c:f>
              <c:numCache>
                <c:formatCode>0.00E+00</c:formatCode>
                <c:ptCount val="13"/>
                <c:pt idx="1">
                  <c:v>7.9857900150992782E-4</c:v>
                </c:pt>
                <c:pt idx="2">
                  <c:v>8.402911876971849E-4</c:v>
                </c:pt>
                <c:pt idx="3">
                  <c:v>8.8205420837007874E-4</c:v>
                </c:pt>
                <c:pt idx="4">
                  <c:v>7.8079360452174191E-4</c:v>
                </c:pt>
                <c:pt idx="5">
                  <c:v>7.6446738087898038E-4</c:v>
                </c:pt>
                <c:pt idx="6">
                  <c:v>7.411965340438486E-4</c:v>
                </c:pt>
                <c:pt idx="7">
                  <c:v>4.2894287189496804E-4</c:v>
                </c:pt>
                <c:pt idx="8">
                  <c:v>4.1277588260813842E-4</c:v>
                </c:pt>
                <c:pt idx="9">
                  <c:v>4.7841125632873589E-4</c:v>
                </c:pt>
                <c:pt idx="10">
                  <c:v>7.1560323090866088E-4</c:v>
                </c:pt>
                <c:pt idx="11">
                  <c:v>6.915161308028245E-4</c:v>
                </c:pt>
                <c:pt idx="12">
                  <c:v>7.2017540846906942E-4</c:v>
                </c:pt>
              </c:numCache>
            </c:numRef>
          </c:val>
          <c:extLst>
            <c:ext xmlns:c16="http://schemas.microsoft.com/office/drawing/2014/chart" uri="{C3380CC4-5D6E-409C-BE32-E72D297353CC}">
              <c16:uniqueId val="{00000000-61AF-41AC-81D7-77F8EDADB373}"/>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data!$TT$42:$TT$54</c:f>
              <c:numCache>
                <c:formatCode>0.00E+00</c:formatCode>
                <c:ptCount val="13"/>
                <c:pt idx="1">
                  <c:v>2.7988159558482197E-2</c:v>
                </c:pt>
                <c:pt idx="2">
                  <c:v>2.8535235991630541E-2</c:v>
                </c:pt>
                <c:pt idx="3">
                  <c:v>2.6083449775643835E-2</c:v>
                </c:pt>
                <c:pt idx="4">
                  <c:v>2.8708634419880773E-2</c:v>
                </c:pt>
                <c:pt idx="5">
                  <c:v>2.727180023902585E-2</c:v>
                </c:pt>
                <c:pt idx="6">
                  <c:v>2.6804518277779205E-2</c:v>
                </c:pt>
                <c:pt idx="7">
                  <c:v>2.6858305433558719E-2</c:v>
                </c:pt>
                <c:pt idx="8">
                  <c:v>2.789122782798938E-2</c:v>
                </c:pt>
                <c:pt idx="9">
                  <c:v>2.8086011713924813E-2</c:v>
                </c:pt>
                <c:pt idx="10">
                  <c:v>2.7034348916632693E-2</c:v>
                </c:pt>
                <c:pt idx="11">
                  <c:v>2.8596689288485862E-2</c:v>
                </c:pt>
                <c:pt idx="12">
                  <c:v>2.739051186419247E-2</c:v>
                </c:pt>
              </c:numCache>
            </c:numRef>
          </c:val>
          <c:extLst>
            <c:ext xmlns:c16="http://schemas.microsoft.com/office/drawing/2014/chart" uri="{C3380CC4-5D6E-409C-BE32-E72D297353CC}">
              <c16:uniqueId val="{00000001-61AF-41AC-81D7-77F8EDADB373}"/>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data!$TU$42:$TU$54</c:f>
              <c:numCache>
                <c:formatCode>0.00E+00</c:formatCode>
                <c:ptCount val="13"/>
                <c:pt idx="1">
                  <c:v>1.7594333359539263E-2</c:v>
                </c:pt>
                <c:pt idx="2">
                  <c:v>1.7124215182944578E-2</c:v>
                </c:pt>
                <c:pt idx="3">
                  <c:v>1.7103910953054354E-2</c:v>
                </c:pt>
                <c:pt idx="4">
                  <c:v>1.7558365276572618E-2</c:v>
                </c:pt>
                <c:pt idx="5">
                  <c:v>1.7137709382503041E-2</c:v>
                </c:pt>
                <c:pt idx="6">
                  <c:v>1.7113437192983059E-2</c:v>
                </c:pt>
                <c:pt idx="7">
                  <c:v>1.7496388567595413E-2</c:v>
                </c:pt>
                <c:pt idx="8">
                  <c:v>1.7041521041688892E-2</c:v>
                </c:pt>
                <c:pt idx="9">
                  <c:v>1.708995689765928E-2</c:v>
                </c:pt>
                <c:pt idx="10">
                  <c:v>1.7360946443587811E-2</c:v>
                </c:pt>
                <c:pt idx="11">
                  <c:v>1.6943455669563987E-2</c:v>
                </c:pt>
                <c:pt idx="12">
                  <c:v>1.6990694925697925E-2</c:v>
                </c:pt>
              </c:numCache>
            </c:numRef>
          </c:val>
          <c:extLst>
            <c:ext xmlns:c16="http://schemas.microsoft.com/office/drawing/2014/chart" uri="{C3380CC4-5D6E-409C-BE32-E72D297353CC}">
              <c16:uniqueId val="{00000002-61AF-41AC-81D7-77F8EDADB373}"/>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data!$TV$42:$TV$54</c:f>
              <c:numCache>
                <c:formatCode>0.00E+00</c:formatCode>
                <c:ptCount val="13"/>
                <c:pt idx="1">
                  <c:v>1.4366132966172924E-3</c:v>
                </c:pt>
                <c:pt idx="2">
                  <c:v>1.5513024599540601E-3</c:v>
                </c:pt>
                <c:pt idx="3">
                  <c:v>1.3547424965441883E-3</c:v>
                </c:pt>
                <c:pt idx="4">
                  <c:v>1.5204338472524846E-3</c:v>
                </c:pt>
                <c:pt idx="5">
                  <c:v>1.4212327192297302E-3</c:v>
                </c:pt>
                <c:pt idx="6">
                  <c:v>1.2970593541978921E-3</c:v>
                </c:pt>
                <c:pt idx="7">
                  <c:v>1.393848876169098E-3</c:v>
                </c:pt>
                <c:pt idx="8">
                  <c:v>1.4307793761659544E-3</c:v>
                </c:pt>
                <c:pt idx="9">
                  <c:v>1.3398514575063689E-3</c:v>
                </c:pt>
                <c:pt idx="10">
                  <c:v>1.344738123043048E-3</c:v>
                </c:pt>
                <c:pt idx="11">
                  <c:v>1.3672644172169118E-3</c:v>
                </c:pt>
                <c:pt idx="12">
                  <c:v>1.5557273862402438E-3</c:v>
                </c:pt>
              </c:numCache>
            </c:numRef>
          </c:val>
          <c:extLst>
            <c:ext xmlns:c16="http://schemas.microsoft.com/office/drawing/2014/chart" uri="{C3380CC4-5D6E-409C-BE32-E72D297353CC}">
              <c16:uniqueId val="{00000003-61AF-41AC-81D7-77F8EDADB373}"/>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61AF-41AC-81D7-77F8EDADB373}"/>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data!$TX$42:$TX$54</c:f>
              <c:numCache>
                <c:formatCode>0.00E+00</c:formatCode>
                <c:ptCount val="13"/>
                <c:pt idx="1">
                  <c:v>1.1675153086916029E-2</c:v>
                </c:pt>
                <c:pt idx="2">
                  <c:v>1.0905360035884503E-2</c:v>
                </c:pt>
                <c:pt idx="3">
                  <c:v>1.3221715065541711E-2</c:v>
                </c:pt>
                <c:pt idx="4">
                  <c:v>1.0842098318231503E-2</c:v>
                </c:pt>
                <c:pt idx="5">
                  <c:v>1.2220671533363875E-2</c:v>
                </c:pt>
                <c:pt idx="6">
                  <c:v>1.3025019588674745E-2</c:v>
                </c:pt>
                <c:pt idx="7">
                  <c:v>1.2233623017832328E-2</c:v>
                </c:pt>
                <c:pt idx="8">
                  <c:v>1.1449728500132936E-2</c:v>
                </c:pt>
                <c:pt idx="9">
                  <c:v>1.1427843133062679E-2</c:v>
                </c:pt>
                <c:pt idx="10">
                  <c:v>1.2477420447678789E-2</c:v>
                </c:pt>
                <c:pt idx="11">
                  <c:v>1.1540990750177157E-2</c:v>
                </c:pt>
                <c:pt idx="12">
                  <c:v>1.181406054749418E-2</c:v>
                </c:pt>
              </c:numCache>
            </c:numRef>
          </c:val>
          <c:extLst>
            <c:ext xmlns:c16="http://schemas.microsoft.com/office/drawing/2014/chart" uri="{C3380CC4-5D6E-409C-BE32-E72D297353CC}">
              <c16:uniqueId val="{00000005-61AF-41AC-81D7-77F8EDADB373}"/>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data!$TY$42:$TY$54</c:f>
              <c:numCache>
                <c:formatCode>0.00E+00</c:formatCode>
                <c:ptCount val="13"/>
                <c:pt idx="1">
                  <c:v>9.8553755815059723E-4</c:v>
                </c:pt>
                <c:pt idx="2">
                  <c:v>1.1321546308384E-3</c:v>
                </c:pt>
                <c:pt idx="3">
                  <c:v>1.6521017242873773E-3</c:v>
                </c:pt>
                <c:pt idx="4">
                  <c:v>8.0379776738130084E-4</c:v>
                </c:pt>
                <c:pt idx="5">
                  <c:v>1.3530870460858476E-3</c:v>
                </c:pt>
                <c:pt idx="6">
                  <c:v>1.2559630604918369E-3</c:v>
                </c:pt>
                <c:pt idx="7">
                  <c:v>1.2289262923744603E-3</c:v>
                </c:pt>
                <c:pt idx="8">
                  <c:v>1.1474591366279494E-3</c:v>
                </c:pt>
                <c:pt idx="9">
                  <c:v>1.0378933724000169E-3</c:v>
                </c:pt>
                <c:pt idx="10">
                  <c:v>1.2579323979717008E-3</c:v>
                </c:pt>
                <c:pt idx="11">
                  <c:v>7.6231063731351781E-4</c:v>
                </c:pt>
                <c:pt idx="12">
                  <c:v>1.2648271967144896E-3</c:v>
                </c:pt>
              </c:numCache>
            </c:numRef>
          </c:val>
          <c:extLst>
            <c:ext xmlns:c16="http://schemas.microsoft.com/office/drawing/2014/chart" uri="{C3380CC4-5D6E-409C-BE32-E72D297353CC}">
              <c16:uniqueId val="{00000006-61AF-41AC-81D7-77F8EDADB373}"/>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data!$TZ$42:$TZ$54</c:f>
              <c:numCache>
                <c:formatCode>0.00E+00</c:formatCode>
                <c:ptCount val="13"/>
                <c:pt idx="1">
                  <c:v>3.415157096045702E-3</c:v>
                </c:pt>
                <c:pt idx="2">
                  <c:v>3.5913395997337286E-3</c:v>
                </c:pt>
                <c:pt idx="3">
                  <c:v>3.4774894635084615E-3</c:v>
                </c:pt>
                <c:pt idx="4">
                  <c:v>3.4520075291226589E-3</c:v>
                </c:pt>
                <c:pt idx="5">
                  <c:v>3.4742748049985004E-3</c:v>
                </c:pt>
                <c:pt idx="6">
                  <c:v>3.3941166901133597E-3</c:v>
                </c:pt>
                <c:pt idx="7">
                  <c:v>3.3657649639314614E-3</c:v>
                </c:pt>
                <c:pt idx="8">
                  <c:v>3.4452509777666606E-3</c:v>
                </c:pt>
                <c:pt idx="9">
                  <c:v>3.4049692674946916E-3</c:v>
                </c:pt>
                <c:pt idx="10">
                  <c:v>3.3102918540369179E-3</c:v>
                </c:pt>
                <c:pt idx="11">
                  <c:v>3.407143949741006E-3</c:v>
                </c:pt>
                <c:pt idx="12">
                  <c:v>3.5620718981288764E-3</c:v>
                </c:pt>
              </c:numCache>
            </c:numRef>
          </c:val>
          <c:extLst>
            <c:ext xmlns:c16="http://schemas.microsoft.com/office/drawing/2014/chart" uri="{C3380CC4-5D6E-409C-BE32-E72D297353CC}">
              <c16:uniqueId val="{00000007-61AF-41AC-81D7-77F8EDADB373}"/>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data!$UA$42:$UA$54</c:f>
              <c:numCache>
                <c:formatCode>0.00E+00</c:formatCode>
                <c:ptCount val="13"/>
                <c:pt idx="1">
                  <c:v>9.3586270427389873E-3</c:v>
                </c:pt>
                <c:pt idx="2">
                  <c:v>9.5261809113170136E-3</c:v>
                </c:pt>
                <c:pt idx="3">
                  <c:v>9.4469363130499969E-3</c:v>
                </c:pt>
                <c:pt idx="4">
                  <c:v>9.4036292370369146E-3</c:v>
                </c:pt>
                <c:pt idx="5">
                  <c:v>9.4028368939141731E-3</c:v>
                </c:pt>
                <c:pt idx="6">
                  <c:v>9.4010093017160498E-3</c:v>
                </c:pt>
                <c:pt idx="7">
                  <c:v>9.1721199766435571E-3</c:v>
                </c:pt>
                <c:pt idx="8">
                  <c:v>9.3178972570200878E-3</c:v>
                </c:pt>
                <c:pt idx="9">
                  <c:v>9.2883429016234163E-3</c:v>
                </c:pt>
                <c:pt idx="10">
                  <c:v>9.2561585861403832E-3</c:v>
                </c:pt>
                <c:pt idx="11">
                  <c:v>9.4042291566987356E-3</c:v>
                </c:pt>
                <c:pt idx="12">
                  <c:v>9.4324907730627457E-3</c:v>
                </c:pt>
              </c:numCache>
            </c:numRef>
          </c:val>
          <c:extLst>
            <c:ext xmlns:c16="http://schemas.microsoft.com/office/drawing/2014/chart" uri="{C3380CC4-5D6E-409C-BE32-E72D297353CC}">
              <c16:uniqueId val="{00000008-61AF-41AC-81D7-77F8EDADB373}"/>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9-61AF-41AC-81D7-77F8EDADB37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data!$TR$31:$TR$35</c:f>
              <c:numCache>
                <c:formatCode>General</c:formatCode>
                <c:ptCount val="5"/>
                <c:pt idx="0" formatCode="0.00E+00">
                  <c:v>7.1819617559806493E-3</c:v>
                </c:pt>
              </c:numCache>
            </c:numRef>
          </c:val>
          <c:extLst>
            <c:ext xmlns:c16="http://schemas.microsoft.com/office/drawing/2014/chart" uri="{C3380CC4-5D6E-409C-BE32-E72D297353CC}">
              <c16:uniqueId val="{0000000A-61AF-41AC-81D7-77F8EDADB373}"/>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B-61AF-41AC-81D7-77F8EDADB373}"/>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data!$TT$31:$TT$35</c:f>
              <c:numCache>
                <c:formatCode>General</c:formatCode>
                <c:ptCount val="5"/>
                <c:pt idx="0" formatCode="0.00E+00">
                  <c:v>2.4385167925503708E-2</c:v>
                </c:pt>
              </c:numCache>
            </c:numRef>
          </c:val>
          <c:extLst>
            <c:ext xmlns:c16="http://schemas.microsoft.com/office/drawing/2014/chart" uri="{C3380CC4-5D6E-409C-BE32-E72D297353CC}">
              <c16:uniqueId val="{0000000C-61AF-41AC-81D7-77F8EDADB373}"/>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data!$TU$31:$TU$35</c:f>
              <c:numCache>
                <c:formatCode>General</c:formatCode>
                <c:ptCount val="5"/>
                <c:pt idx="0" formatCode="0.00E+00">
                  <c:v>2.7254841141526112E-2</c:v>
                </c:pt>
              </c:numCache>
            </c:numRef>
          </c:val>
          <c:extLst>
            <c:ext xmlns:c16="http://schemas.microsoft.com/office/drawing/2014/chart" uri="{C3380CC4-5D6E-409C-BE32-E72D297353CC}">
              <c16:uniqueId val="{0000000D-61AF-41AC-81D7-77F8EDADB373}"/>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data!$TV$31:$TV$35</c:f>
              <c:numCache>
                <c:formatCode>General</c:formatCode>
                <c:ptCount val="5"/>
                <c:pt idx="0" formatCode="0.00E+00">
                  <c:v>2.5712175E-2</c:v>
                </c:pt>
              </c:numCache>
            </c:numRef>
          </c:val>
          <c:extLst>
            <c:ext xmlns:c16="http://schemas.microsoft.com/office/drawing/2014/chart" uri="{C3380CC4-5D6E-409C-BE32-E72D297353CC}">
              <c16:uniqueId val="{0000000E-61AF-41AC-81D7-77F8EDADB373}"/>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data!$TS$42:$TS$54</c:f>
              <c:numCache>
                <c:formatCode>0.00E+00</c:formatCode>
                <c:ptCount val="13"/>
                <c:pt idx="1">
                  <c:v>7.9857900150992782E-4</c:v>
                </c:pt>
                <c:pt idx="2">
                  <c:v>8.402911876971849E-4</c:v>
                </c:pt>
                <c:pt idx="3">
                  <c:v>8.8205420837007874E-4</c:v>
                </c:pt>
                <c:pt idx="4">
                  <c:v>7.8079360452174191E-4</c:v>
                </c:pt>
                <c:pt idx="5">
                  <c:v>7.6446738087898038E-4</c:v>
                </c:pt>
                <c:pt idx="6">
                  <c:v>7.411965340438486E-4</c:v>
                </c:pt>
                <c:pt idx="7">
                  <c:v>4.2894287189496804E-4</c:v>
                </c:pt>
                <c:pt idx="8">
                  <c:v>4.1277588260813842E-4</c:v>
                </c:pt>
                <c:pt idx="9">
                  <c:v>4.7841125632873589E-4</c:v>
                </c:pt>
                <c:pt idx="10">
                  <c:v>7.1560323090866088E-4</c:v>
                </c:pt>
                <c:pt idx="11">
                  <c:v>6.915161308028245E-4</c:v>
                </c:pt>
                <c:pt idx="12">
                  <c:v>7.2017540846906942E-4</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data!$TT$42:$TT$54</c:f>
              <c:numCache>
                <c:formatCode>0.00E+00</c:formatCode>
                <c:ptCount val="13"/>
                <c:pt idx="1">
                  <c:v>2.7988159558482197E-2</c:v>
                </c:pt>
                <c:pt idx="2">
                  <c:v>2.8535235991630541E-2</c:v>
                </c:pt>
                <c:pt idx="3">
                  <c:v>2.6083449775643835E-2</c:v>
                </c:pt>
                <c:pt idx="4">
                  <c:v>2.8708634419880773E-2</c:v>
                </c:pt>
                <c:pt idx="5">
                  <c:v>2.727180023902585E-2</c:v>
                </c:pt>
                <c:pt idx="6">
                  <c:v>2.6804518277779205E-2</c:v>
                </c:pt>
                <c:pt idx="7">
                  <c:v>2.6858305433558719E-2</c:v>
                </c:pt>
                <c:pt idx="8">
                  <c:v>2.789122782798938E-2</c:v>
                </c:pt>
                <c:pt idx="9">
                  <c:v>2.8086011713924813E-2</c:v>
                </c:pt>
                <c:pt idx="10">
                  <c:v>2.7034348916632693E-2</c:v>
                </c:pt>
                <c:pt idx="11">
                  <c:v>2.8596689288485862E-2</c:v>
                </c:pt>
                <c:pt idx="12">
                  <c:v>2.739051186419247E-2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data!$TU$42:$TU$54</c:f>
              <c:numCache>
                <c:formatCode>0.00E+00</c:formatCode>
                <c:ptCount val="13"/>
                <c:pt idx="1">
                  <c:v>1.7594333359539263E-2</c:v>
                </c:pt>
                <c:pt idx="2">
                  <c:v>1.7124215182944578E-2</c:v>
                </c:pt>
                <c:pt idx="3">
                  <c:v>1.7103910953054354E-2</c:v>
                </c:pt>
                <c:pt idx="4">
                  <c:v>1.7558365276572618E-2</c:v>
                </c:pt>
                <c:pt idx="5">
                  <c:v>1.7137709382503041E-2</c:v>
                </c:pt>
                <c:pt idx="6">
                  <c:v>1.7113437192983059E-2</c:v>
                </c:pt>
                <c:pt idx="7">
                  <c:v>1.7496388567595413E-2</c:v>
                </c:pt>
                <c:pt idx="8">
                  <c:v>1.7041521041688892E-2</c:v>
                </c:pt>
                <c:pt idx="9">
                  <c:v>1.708995689765928E-2</c:v>
                </c:pt>
                <c:pt idx="10">
                  <c:v>1.7360946443587811E-2</c:v>
                </c:pt>
                <c:pt idx="11">
                  <c:v>1.6943455669563987E-2</c:v>
                </c:pt>
                <c:pt idx="12">
                  <c:v>1.6990694925697925E-2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data!$TV$42:$TV$54</c:f>
              <c:numCache>
                <c:formatCode>0.00E+00</c:formatCode>
                <c:ptCount val="13"/>
                <c:pt idx="1">
                  <c:v>1.4366132966172924E-3</c:v>
                </c:pt>
                <c:pt idx="2">
                  <c:v>1.5513024599540601E-3</c:v>
                </c:pt>
                <c:pt idx="3">
                  <c:v>1.3547424965441883E-3</c:v>
                </c:pt>
                <c:pt idx="4">
                  <c:v>1.5204338472524846E-3</c:v>
                </c:pt>
                <c:pt idx="5">
                  <c:v>1.4212327192297302E-3</c:v>
                </c:pt>
                <c:pt idx="6">
                  <c:v>1.2970593541978921E-3</c:v>
                </c:pt>
                <c:pt idx="7">
                  <c:v>1.393848876169098E-3</c:v>
                </c:pt>
                <c:pt idx="8">
                  <c:v>1.4307793761659544E-3</c:v>
                </c:pt>
                <c:pt idx="9">
                  <c:v>1.3398514575063689E-3</c:v>
                </c:pt>
                <c:pt idx="10">
                  <c:v>1.344738123043048E-3</c:v>
                </c:pt>
                <c:pt idx="11">
                  <c:v>1.3672644172169118E-3</c:v>
                </c:pt>
                <c:pt idx="12">
                  <c:v>1.5557273862402438E-3</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data!$TX$42:$TX$54</c:f>
              <c:numCache>
                <c:formatCode>0.00E+00</c:formatCode>
                <c:ptCount val="13"/>
                <c:pt idx="1">
                  <c:v>1.1675153086916029E-2</c:v>
                </c:pt>
                <c:pt idx="2">
                  <c:v>1.0905360035884503E-2</c:v>
                </c:pt>
                <c:pt idx="3">
                  <c:v>1.3221715065541711E-2</c:v>
                </c:pt>
                <c:pt idx="4">
                  <c:v>1.0842098318231503E-2</c:v>
                </c:pt>
                <c:pt idx="5">
                  <c:v>1.2220671533363875E-2</c:v>
                </c:pt>
                <c:pt idx="6">
                  <c:v>1.3025019588674745E-2</c:v>
                </c:pt>
                <c:pt idx="7">
                  <c:v>1.2233623017832328E-2</c:v>
                </c:pt>
                <c:pt idx="8">
                  <c:v>1.1449728500132936E-2</c:v>
                </c:pt>
                <c:pt idx="9">
                  <c:v>1.1427843133062679E-2</c:v>
                </c:pt>
                <c:pt idx="10">
                  <c:v>1.2477420447678789E-2</c:v>
                </c:pt>
                <c:pt idx="11">
                  <c:v>1.1540990750177157E-2</c:v>
                </c:pt>
                <c:pt idx="12">
                  <c:v>1.181406054749418E-2</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data!$TY$42:$TY$54</c:f>
              <c:numCache>
                <c:formatCode>0.00E+00</c:formatCode>
                <c:ptCount val="13"/>
                <c:pt idx="1">
                  <c:v>9.8553755815059723E-4</c:v>
                </c:pt>
                <c:pt idx="2">
                  <c:v>1.1321546308384E-3</c:v>
                </c:pt>
                <c:pt idx="3">
                  <c:v>1.6521017242873773E-3</c:v>
                </c:pt>
                <c:pt idx="4">
                  <c:v>8.0379776738130084E-4</c:v>
                </c:pt>
                <c:pt idx="5">
                  <c:v>1.3530870460858476E-3</c:v>
                </c:pt>
                <c:pt idx="6">
                  <c:v>1.2559630604918369E-3</c:v>
                </c:pt>
                <c:pt idx="7">
                  <c:v>1.2289262923744603E-3</c:v>
                </c:pt>
                <c:pt idx="8">
                  <c:v>1.1474591366279494E-3</c:v>
                </c:pt>
                <c:pt idx="9">
                  <c:v>1.0378933724000169E-3</c:v>
                </c:pt>
                <c:pt idx="10">
                  <c:v>1.2579323979717008E-3</c:v>
                </c:pt>
                <c:pt idx="11">
                  <c:v>7.6231063731351781E-4</c:v>
                </c:pt>
                <c:pt idx="12">
                  <c:v>1.2648271967144896E-3</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data!$TZ$42:$TZ$54</c:f>
              <c:numCache>
                <c:formatCode>0.00E+00</c:formatCode>
                <c:ptCount val="13"/>
                <c:pt idx="1">
                  <c:v>3.415157096045702E-3</c:v>
                </c:pt>
                <c:pt idx="2">
                  <c:v>3.5913395997337286E-3</c:v>
                </c:pt>
                <c:pt idx="3">
                  <c:v>3.4774894635084615E-3</c:v>
                </c:pt>
                <c:pt idx="4">
                  <c:v>3.4520075291226589E-3</c:v>
                </c:pt>
                <c:pt idx="5">
                  <c:v>3.4742748049985004E-3</c:v>
                </c:pt>
                <c:pt idx="6">
                  <c:v>3.3941166901133597E-3</c:v>
                </c:pt>
                <c:pt idx="7">
                  <c:v>3.3657649639314614E-3</c:v>
                </c:pt>
                <c:pt idx="8">
                  <c:v>3.4452509777666606E-3</c:v>
                </c:pt>
                <c:pt idx="9">
                  <c:v>3.4049692674946916E-3</c:v>
                </c:pt>
                <c:pt idx="10">
                  <c:v>3.3102918540369179E-3</c:v>
                </c:pt>
                <c:pt idx="11">
                  <c:v>3.407143949741006E-3</c:v>
                </c:pt>
                <c:pt idx="12">
                  <c:v>3.5620718981288764E-3</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data!$UA$42:$UA$54</c:f>
              <c:numCache>
                <c:formatCode>0.00E+00</c:formatCode>
                <c:ptCount val="13"/>
                <c:pt idx="1">
                  <c:v>9.3586270427389873E-3</c:v>
                </c:pt>
                <c:pt idx="2">
                  <c:v>9.5261809113170136E-3</c:v>
                </c:pt>
                <c:pt idx="3">
                  <c:v>9.4469363130499969E-3</c:v>
                </c:pt>
                <c:pt idx="4">
                  <c:v>9.4036292370369146E-3</c:v>
                </c:pt>
                <c:pt idx="5">
                  <c:v>9.4028368939141731E-3</c:v>
                </c:pt>
                <c:pt idx="6">
                  <c:v>9.4010093017160498E-3</c:v>
                </c:pt>
                <c:pt idx="7">
                  <c:v>9.1721199766435571E-3</c:v>
                </c:pt>
                <c:pt idx="8">
                  <c:v>9.3178972570200878E-3</c:v>
                </c:pt>
                <c:pt idx="9">
                  <c:v>9.2883429016234163E-3</c:v>
                </c:pt>
                <c:pt idx="10">
                  <c:v>9.2561585861403832E-3</c:v>
                </c:pt>
                <c:pt idx="11">
                  <c:v>9.4042291566987356E-3</c:v>
                </c:pt>
                <c:pt idx="12">
                  <c:v>9.4324907730627457E-3</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data!$TR$31:$TR$35</c:f>
              <c:numCache>
                <c:formatCode>General</c:formatCode>
                <c:ptCount val="5"/>
                <c:pt idx="0" formatCode="0.00E+00">
                  <c:v>7.1819617559806493E-3</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data!$TT$31:$TT$35</c:f>
              <c:numCache>
                <c:formatCode>General</c:formatCode>
                <c:ptCount val="5"/>
                <c:pt idx="0" formatCode="0.00E+00">
                  <c:v>2.4385167925503708E-2</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data!$TU$31:$TU$35</c:f>
              <c:numCache>
                <c:formatCode>General</c:formatCode>
                <c:ptCount val="5"/>
                <c:pt idx="0" formatCode="0.00E+00">
                  <c:v>2.7254841141526112E-2</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data!$TV$31:$TV$35</c:f>
              <c:numCache>
                <c:formatCode>General</c:formatCode>
                <c:ptCount val="5"/>
                <c:pt idx="0" formatCode="0.00E+00">
                  <c:v>2.5712175E-2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data!$UE$42:$UE$54</c:f>
              <c:numCache>
                <c:formatCode>0.00E+00</c:formatCode>
                <c:ptCount val="13"/>
                <c:pt idx="1">
                  <c:v>7.9857900150992782E-4</c:v>
                </c:pt>
                <c:pt idx="2">
                  <c:v>8.402911876971849E-4</c:v>
                </c:pt>
                <c:pt idx="3">
                  <c:v>8.8205420837007874E-4</c:v>
                </c:pt>
                <c:pt idx="4">
                  <c:v>7.8079360452174191E-4</c:v>
                </c:pt>
                <c:pt idx="5">
                  <c:v>7.6446738087898038E-4</c:v>
                </c:pt>
                <c:pt idx="6">
                  <c:v>7.411965340438486E-4</c:v>
                </c:pt>
                <c:pt idx="7">
                  <c:v>4.2894287189496804E-4</c:v>
                </c:pt>
                <c:pt idx="8">
                  <c:v>4.1277588260813842E-4</c:v>
                </c:pt>
                <c:pt idx="9">
                  <c:v>4.7841125632873589E-4</c:v>
                </c:pt>
                <c:pt idx="10">
                  <c:v>7.1560323090866088E-4</c:v>
                </c:pt>
                <c:pt idx="11">
                  <c:v>6.915161308028245E-4</c:v>
                </c:pt>
                <c:pt idx="12">
                  <c:v>7.2017540846906942E-4</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data!$UG$42:$UG$54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data!$UI$42:$UI$54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data!$UJ$42:$UJ$54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data!$UK$42:$UK$54</c:f>
              <c:numCache>
                <c:formatCode>0.00E+00</c:formatCode>
                <c:ptCount val="13"/>
                <c:pt idx="1">
                  <c:v>2.7988159558482197E-2</c:v>
                </c:pt>
                <c:pt idx="2">
                  <c:v>2.8535235991630541E-2</c:v>
                </c:pt>
                <c:pt idx="3">
                  <c:v>2.6083449775643835E-2</c:v>
                </c:pt>
                <c:pt idx="4">
                  <c:v>2.8708634419880773E-2</c:v>
                </c:pt>
                <c:pt idx="5">
                  <c:v>2.727180023902585E-2</c:v>
                </c:pt>
                <c:pt idx="6">
                  <c:v>2.6804518277779205E-2</c:v>
                </c:pt>
                <c:pt idx="7">
                  <c:v>2.6858305433558719E-2</c:v>
                </c:pt>
                <c:pt idx="8">
                  <c:v>2.789122782798938E-2</c:v>
                </c:pt>
                <c:pt idx="9">
                  <c:v>2.8086011713924813E-2</c:v>
                </c:pt>
                <c:pt idx="10">
                  <c:v>2.7034348916632693E-2</c:v>
                </c:pt>
                <c:pt idx="11">
                  <c:v>2.8596689288485862E-2</c:v>
                </c:pt>
                <c:pt idx="12">
                  <c:v>2.739051186419247E-2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data!$UL$42:$UL$54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data!$UM$42:$UM$54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data!$UN$42:$UN$54</c:f>
              <c:numCache>
                <c:formatCode>0.00E+00</c:formatCode>
                <c:ptCount val="13"/>
                <c:pt idx="1">
                  <c:v>1.7594333359539263E-2</c:v>
                </c:pt>
                <c:pt idx="2">
                  <c:v>1.7124215182944578E-2</c:v>
                </c:pt>
                <c:pt idx="3">
                  <c:v>1.7103910953054354E-2</c:v>
                </c:pt>
                <c:pt idx="4">
                  <c:v>1.7558365276572618E-2</c:v>
                </c:pt>
                <c:pt idx="5">
                  <c:v>1.7137709382503041E-2</c:v>
                </c:pt>
                <c:pt idx="6">
                  <c:v>1.7113437192983059E-2</c:v>
                </c:pt>
                <c:pt idx="7">
                  <c:v>1.7496388567595413E-2</c:v>
                </c:pt>
                <c:pt idx="8">
                  <c:v>1.7041521041688892E-2</c:v>
                </c:pt>
                <c:pt idx="9">
                  <c:v>1.708995689765928E-2</c:v>
                </c:pt>
                <c:pt idx="10">
                  <c:v>1.7360946443587811E-2</c:v>
                </c:pt>
                <c:pt idx="11">
                  <c:v>1.6943455669563987E-2</c:v>
                </c:pt>
                <c:pt idx="12">
                  <c:v>1.6990694925697925E-2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data!$UO$42:$UO$54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data!$UP$42:$UP$54</c:f>
              <c:numCache>
                <c:formatCode>0.00E+00</c:formatCode>
                <c:ptCount val="13"/>
                <c:pt idx="1">
                  <c:v>1.4366132966172924E-3</c:v>
                </c:pt>
                <c:pt idx="2">
                  <c:v>1.5513024599540601E-3</c:v>
                </c:pt>
                <c:pt idx="3">
                  <c:v>1.3547424965441883E-3</c:v>
                </c:pt>
                <c:pt idx="4">
                  <c:v>1.5204338472524846E-3</c:v>
                </c:pt>
                <c:pt idx="5">
                  <c:v>1.4212327192297302E-3</c:v>
                </c:pt>
                <c:pt idx="6">
                  <c:v>1.2970593541978921E-3</c:v>
                </c:pt>
                <c:pt idx="7">
                  <c:v>1.393848876169098E-3</c:v>
                </c:pt>
                <c:pt idx="8">
                  <c:v>1.4307793761659544E-3</c:v>
                </c:pt>
                <c:pt idx="9">
                  <c:v>1.3398514575063689E-3</c:v>
                </c:pt>
                <c:pt idx="10">
                  <c:v>1.344738123043048E-3</c:v>
                </c:pt>
                <c:pt idx="11">
                  <c:v>1.3672644172169118E-3</c:v>
                </c:pt>
                <c:pt idx="12">
                  <c:v>1.5557273862402438E-3</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data!$UR$42:$UR$54</c:f>
              <c:numCache>
                <c:formatCode>0.00E+00</c:formatCode>
                <c:ptCount val="13"/>
                <c:pt idx="1">
                  <c:v>1.1675153086916029E-2</c:v>
                </c:pt>
                <c:pt idx="2">
                  <c:v>1.0905360035884503E-2</c:v>
                </c:pt>
                <c:pt idx="3">
                  <c:v>1.3221715065541711E-2</c:v>
                </c:pt>
                <c:pt idx="4">
                  <c:v>1.0842098318231503E-2</c:v>
                </c:pt>
                <c:pt idx="5">
                  <c:v>1.2220671533363875E-2</c:v>
                </c:pt>
                <c:pt idx="6">
                  <c:v>1.3025019588674745E-2</c:v>
                </c:pt>
                <c:pt idx="7">
                  <c:v>1.2233623017832328E-2</c:v>
                </c:pt>
                <c:pt idx="8">
                  <c:v>1.1449728500132936E-2</c:v>
                </c:pt>
                <c:pt idx="9">
                  <c:v>1.1427843133062679E-2</c:v>
                </c:pt>
                <c:pt idx="10">
                  <c:v>1.2477420447678789E-2</c:v>
                </c:pt>
                <c:pt idx="11">
                  <c:v>1.1540990750177157E-2</c:v>
                </c:pt>
                <c:pt idx="12">
                  <c:v>1.181406054749418E-2</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data!$US$42:$US$54</c:f>
              <c:numCache>
                <c:formatCode>0.00E+00</c:formatCode>
                <c:ptCount val="13"/>
                <c:pt idx="1">
                  <c:v>9.8553755815059723E-4</c:v>
                </c:pt>
                <c:pt idx="2">
                  <c:v>1.1321546308384E-3</c:v>
                </c:pt>
                <c:pt idx="3">
                  <c:v>1.6521017242873773E-3</c:v>
                </c:pt>
                <c:pt idx="4">
                  <c:v>8.0379776738130084E-4</c:v>
                </c:pt>
                <c:pt idx="5">
                  <c:v>1.3530870460858476E-3</c:v>
                </c:pt>
                <c:pt idx="6">
                  <c:v>1.2559630604918369E-3</c:v>
                </c:pt>
                <c:pt idx="7">
                  <c:v>1.2289262923744603E-3</c:v>
                </c:pt>
                <c:pt idx="8">
                  <c:v>1.1474591366279494E-3</c:v>
                </c:pt>
                <c:pt idx="9">
                  <c:v>1.0378933724000169E-3</c:v>
                </c:pt>
                <c:pt idx="10">
                  <c:v>1.2579323979717008E-3</c:v>
                </c:pt>
                <c:pt idx="11">
                  <c:v>7.6231063731351781E-4</c:v>
                </c:pt>
                <c:pt idx="12">
                  <c:v>1.2648271967144896E-3</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data!$UT$42:$UT$54</c:f>
              <c:numCache>
                <c:formatCode>0.00E+00</c:formatCode>
                <c:ptCount val="13"/>
                <c:pt idx="1">
                  <c:v>3.415157096045702E-3</c:v>
                </c:pt>
                <c:pt idx="2">
                  <c:v>3.5913395997337286E-3</c:v>
                </c:pt>
                <c:pt idx="3">
                  <c:v>3.4774894635084615E-3</c:v>
                </c:pt>
                <c:pt idx="4">
                  <c:v>3.4520075291226589E-3</c:v>
                </c:pt>
                <c:pt idx="5">
                  <c:v>3.4742748049985004E-3</c:v>
                </c:pt>
                <c:pt idx="6">
                  <c:v>3.3941166901133597E-3</c:v>
                </c:pt>
                <c:pt idx="7">
                  <c:v>3.3657649639314614E-3</c:v>
                </c:pt>
                <c:pt idx="8">
                  <c:v>3.4452509777666606E-3</c:v>
                </c:pt>
                <c:pt idx="9">
                  <c:v>3.4049692674946916E-3</c:v>
                </c:pt>
                <c:pt idx="10">
                  <c:v>3.3102918540369179E-3</c:v>
                </c:pt>
                <c:pt idx="11">
                  <c:v>3.407143949741006E-3</c:v>
                </c:pt>
                <c:pt idx="12">
                  <c:v>3.5620718981288764E-3</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data!$UU$42:$UU$54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data!$UV$42:$UV$54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data!$UW$42:$UW$54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13</c:v>
                  </c:pt>
                  <c:pt idx="4">
                    <c:v>Process
9</c:v>
                  </c:pt>
                  <c:pt idx="7">
                    <c:v>Process
5</c:v>
                  </c:pt>
                  <c:pt idx="10">
                    <c:v>Process
1</c:v>
                  </c:pt>
                </c:lvl>
              </c:multiLvlStrCache>
            </c:multiLvlStrRef>
          </c:cat>
          <c:val>
            <c:numRef>
              <c:f>data!$UX$42:$UX$54</c:f>
              <c:numCache>
                <c:formatCode>0.00E+00</c:formatCode>
                <c:ptCount val="13"/>
                <c:pt idx="1">
                  <c:v>9.3586270427389873E-3</c:v>
                </c:pt>
                <c:pt idx="2">
                  <c:v>9.5261809113170136E-3</c:v>
                </c:pt>
                <c:pt idx="3">
                  <c:v>9.4469363130499969E-3</c:v>
                </c:pt>
                <c:pt idx="4">
                  <c:v>9.4036292370369146E-3</c:v>
                </c:pt>
                <c:pt idx="5">
                  <c:v>9.4028368939141731E-3</c:v>
                </c:pt>
                <c:pt idx="6">
                  <c:v>9.4010093017160498E-3</c:v>
                </c:pt>
                <c:pt idx="7">
                  <c:v>9.1721199766435571E-3</c:v>
                </c:pt>
                <c:pt idx="8">
                  <c:v>9.3178972570200878E-3</c:v>
                </c:pt>
                <c:pt idx="9">
                  <c:v>9.2883429016234163E-3</c:v>
                </c:pt>
                <c:pt idx="10">
                  <c:v>9.2561585861403832E-3</c:v>
                </c:pt>
                <c:pt idx="11">
                  <c:v>9.4042291566987356E-3</c:v>
                </c:pt>
                <c:pt idx="12">
                  <c:v>9.4324907730627457E-3</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7.1819617559806493E-3</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2.4385167925503708E-2</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2.7254841141526112E-2</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2.5712175E-2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4.8371470026456531E-2</c:v>
                </c:pt>
                <c:pt idx="1">
                  <c:v>7.778186561622596E-3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0.10640687181425047</c:v>
                </c:pt>
                <c:pt idx="1">
                  <c:v>9.8868093162939347E-2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4.8371470026456531E-2</c:v>
                </c:pt>
                <c:pt idx="1">
                  <c:v>7.778186561622596E-3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c:v>
                </c:pt>
                <c:pt idx="1">
                  <c:v>0</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0</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27</xdr:row>
      <xdr:rowOff>0</xdr:rowOff>
    </xdr:from>
    <xdr:to>
      <xdr:col>24</xdr:col>
      <xdr:colOff>687751</xdr:colOff>
      <xdr:row>67</xdr:row>
      <xdr:rowOff>6015</xdr:rowOff>
    </xdr:to>
    <xdr:graphicFrame macro="">
      <xdr:nvGraphicFramePr>
        <xdr:cNvPr id="8" name="Graph_Cache_Lv2">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27</xdr:row>
      <xdr:rowOff>0</xdr:rowOff>
    </xdr:from>
    <xdr:to>
      <xdr:col>37</xdr:col>
      <xdr:colOff>685800</xdr:colOff>
      <xdr:row>67</xdr:row>
      <xdr:rowOff>0</xdr:rowOff>
    </xdr:to>
    <xdr:graphicFrame macro="">
      <xdr:nvGraphicFramePr>
        <xdr:cNvPr id="7" name="Graph_CA_Lv2">
          <a:extLst>
            <a:ext uri="{FF2B5EF4-FFF2-40B4-BE49-F238E27FC236}">
              <a16:creationId xmlns:a16="http://schemas.microsoft.com/office/drawing/2014/main" id="{9CDFC7B8-CB49-4A6F-9C54-ECE7357AC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4.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50" zoomScaleNormal="70" workbookViewId="0"/>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Tue Oct 15 14:39:20 2024</v>
      </c>
      <c r="D3" s="786"/>
      <c r="E3" s="786"/>
      <c r="F3" s="787"/>
      <c r="H3" s="793" t="str">
        <f>data!F10</f>
        <v>Process no.</v>
      </c>
      <c r="I3" s="794"/>
      <c r="J3" s="767">
        <f>data!G10</f>
        <v>13</v>
      </c>
      <c r="K3" s="767"/>
      <c r="L3" s="767"/>
      <c r="M3" s="768"/>
      <c r="O3" s="793" t="str">
        <f>data!F14</f>
        <v>Vector length (bit)</v>
      </c>
      <c r="P3" s="794"/>
      <c r="Q3" s="767">
        <f>data!G14</f>
        <v>512</v>
      </c>
      <c r="R3" s="767"/>
      <c r="S3" s="767"/>
      <c r="T3" s="768"/>
    </row>
    <row r="4" spans="1:44" ht="17" thickBot="1">
      <c r="A4" s="788" t="str">
        <f>data!F5</f>
        <v>Node name</v>
      </c>
      <c r="B4" s="789"/>
      <c r="C4" s="790" t="str">
        <f>data!G5</f>
        <v>fx0280</v>
      </c>
      <c r="D4" s="791"/>
      <c r="E4" s="791"/>
      <c r="F4" s="792"/>
      <c r="H4" s="795" t="str">
        <f>data!F11</f>
        <v>CMG no.</v>
      </c>
      <c r="I4" s="796"/>
      <c r="J4" s="797">
        <f>data!G11</f>
        <v>1</v>
      </c>
      <c r="K4" s="797"/>
      <c r="L4" s="797"/>
      <c r="M4" s="798"/>
      <c r="O4" s="774" t="str">
        <f>data!F15</f>
        <v>CPU frequency (GHz)</v>
      </c>
      <c r="P4" s="775"/>
      <c r="Q4" s="801">
        <f>data!G15</f>
        <v>2.1726330390803494</v>
      </c>
      <c r="R4" s="801"/>
      <c r="S4" s="801"/>
      <c r="T4" s="802"/>
    </row>
    <row r="5" spans="1:44" ht="17" thickBot="1">
      <c r="H5" s="774" t="str">
        <f>data!F12</f>
        <v>Measured region</v>
      </c>
      <c r="I5" s="775"/>
      <c r="J5" s="776" t="str">
        <f>data!G12</f>
        <v>loop4,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Memory access wait &amp; Cache access wait</v>
      </c>
      <c r="Y9" s="636" t="str">
        <f>data!NV28</f>
        <v>Floating-point load L1D cache access wait (*)</v>
      </c>
      <c r="Z9" s="636" t="str">
        <f>data!NW28</f>
        <v>Integer operation wait</v>
      </c>
      <c r="AA9" s="636" t="str">
        <f>data!NX28</f>
        <v>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13</v>
      </c>
      <c r="B14" s="106">
        <f>data!$NB$30</f>
        <v>0</v>
      </c>
      <c r="C14" s="39">
        <f>data!NC30</f>
        <v>7.3252159999999997E-2</v>
      </c>
      <c r="D14" s="41">
        <f>data!ND30</f>
        <v>3.6818192801413638</v>
      </c>
      <c r="E14" s="40">
        <f>data!NE30</f>
        <v>5.2957333537153546E-2</v>
      </c>
      <c r="F14" s="41">
        <f>data!NF30</f>
        <v>7.8037927072730691</v>
      </c>
      <c r="G14" s="607">
        <f>data!NG42</f>
        <v>0.35323036254772533</v>
      </c>
      <c r="H14" s="30">
        <f>data!NH30</f>
        <v>78401367</v>
      </c>
      <c r="I14" s="30">
        <f>data!NI30</f>
        <v>269701215</v>
      </c>
      <c r="J14" s="50">
        <f>data!NJ30</f>
        <v>0.49357616430335965</v>
      </c>
      <c r="K14" s="50">
        <f>data!NK30</f>
        <v>0.99986213261961021</v>
      </c>
      <c r="L14" s="50">
        <f>data!NL30</f>
        <v>0.92233002507094131</v>
      </c>
      <c r="M14" s="52">
        <f>data!NM30</f>
        <v>0.49262542233489409</v>
      </c>
      <c r="N14" s="53">
        <f>data!NN30</f>
        <v>1.0702942684557015</v>
      </c>
      <c r="P14" s="105">
        <f>data!$NA$30</f>
        <v>13</v>
      </c>
      <c r="Q14" s="106">
        <f>data!$NB$30</f>
        <v>0</v>
      </c>
      <c r="R14" s="93">
        <f>data!NO30</f>
        <v>7.9857900150992782E-4</v>
      </c>
      <c r="S14" s="94" t="str">
        <f>data!NP30</f>
        <v/>
      </c>
      <c r="T14" s="94" t="str">
        <f>data!NQ30</f>
        <v/>
      </c>
      <c r="U14" s="94" t="str">
        <f>data!NR30</f>
        <v/>
      </c>
      <c r="V14" s="94" t="str">
        <f>data!NS30</f>
        <v/>
      </c>
      <c r="W14" s="94" t="str">
        <f>data!NT30</f>
        <v/>
      </c>
      <c r="X14" s="94">
        <f>data!NU30</f>
        <v>2.7988159558482197E-2</v>
      </c>
      <c r="Y14" s="94" t="str">
        <f>data!NV30</f>
        <v/>
      </c>
      <c r="Z14" s="94" t="str">
        <f>data!NW30</f>
        <v/>
      </c>
      <c r="AA14" s="94">
        <f>data!NX30</f>
        <v>1.7594333359539263E-2</v>
      </c>
      <c r="AB14" s="94" t="str">
        <f>data!NY30</f>
        <v/>
      </c>
      <c r="AC14" s="94">
        <f>data!NZ30</f>
        <v>1.4366132966172924E-3</v>
      </c>
      <c r="AD14" s="94">
        <f>data!OA30</f>
        <v>0</v>
      </c>
      <c r="AE14" s="94">
        <f>data!OB30</f>
        <v>1.1675153086916029E-2</v>
      </c>
      <c r="AF14" s="94">
        <f>data!OC30</f>
        <v>9.8553755815059723E-4</v>
      </c>
      <c r="AG14" s="94">
        <f>data!OD30</f>
        <v>3.415157096045702E-3</v>
      </c>
      <c r="AH14" s="94" t="str">
        <f>data!OE30</f>
        <v/>
      </c>
      <c r="AI14" s="94" t="str">
        <f>data!OF30</f>
        <v/>
      </c>
      <c r="AJ14" s="94" t="str">
        <f>data!OG30</f>
        <v/>
      </c>
      <c r="AK14" s="94">
        <f>data!OH30</f>
        <v>9.3586270427389873E-3</v>
      </c>
      <c r="AL14" s="95">
        <f>data!OI30</f>
        <v>7.3252159999999997E-2</v>
      </c>
      <c r="AR14" s="20"/>
    </row>
    <row r="15" spans="1:44" ht="15.75" customHeight="1">
      <c r="A15" s="107">
        <f>data!$NA$31</f>
        <v>13</v>
      </c>
      <c r="B15" s="108">
        <f>data!$NB$31</f>
        <v>1</v>
      </c>
      <c r="C15" s="42">
        <f>data!NC31</f>
        <v>7.3206080000000007E-2</v>
      </c>
      <c r="D15" s="11">
        <f>data!ND31</f>
        <v>3.5700303171539844</v>
      </c>
      <c r="E15" s="4">
        <f>data!NE31</f>
        <v>5.1349420451732401E-2</v>
      </c>
      <c r="F15" s="11">
        <f>data!NF31</f>
        <v>7.2701283827791343</v>
      </c>
      <c r="G15" s="608"/>
      <c r="H15" s="5">
        <f>data!NH31</f>
        <v>80075585</v>
      </c>
      <c r="I15" s="5">
        <f>data!NI31</f>
        <v>261347925</v>
      </c>
      <c r="J15" s="51">
        <f>data!NJ31</f>
        <v>0.46831490522360841</v>
      </c>
      <c r="K15" s="113">
        <f>data!NK31</f>
        <v>0.99986100903613451</v>
      </c>
      <c r="L15" s="113">
        <f>data!NL31</f>
        <v>0.92242291708914637</v>
      </c>
      <c r="M15" s="54">
        <f>data!NM31</f>
        <v>0.50495741592637111</v>
      </c>
      <c r="N15" s="55">
        <f>data!NN31</f>
        <v>1.0938379025348715</v>
      </c>
      <c r="P15" s="109">
        <f>data!$NA$31</f>
        <v>13</v>
      </c>
      <c r="Q15" s="110">
        <f>data!$NB$31</f>
        <v>1</v>
      </c>
      <c r="R15" s="96">
        <f>data!NO31</f>
        <v>8.402911876971849E-4</v>
      </c>
      <c r="S15" s="97" t="str">
        <f>data!NP31</f>
        <v/>
      </c>
      <c r="T15" s="97" t="str">
        <f>data!NQ31</f>
        <v/>
      </c>
      <c r="U15" s="97" t="str">
        <f>data!NR31</f>
        <v/>
      </c>
      <c r="V15" s="97" t="str">
        <f>data!NS31</f>
        <v/>
      </c>
      <c r="W15" s="97" t="str">
        <f>data!NT31</f>
        <v/>
      </c>
      <c r="X15" s="97">
        <f>data!NU31</f>
        <v>2.8535235991630541E-2</v>
      </c>
      <c r="Y15" s="97" t="str">
        <f>data!NV31</f>
        <v/>
      </c>
      <c r="Z15" s="97" t="str">
        <f>data!NW31</f>
        <v/>
      </c>
      <c r="AA15" s="97">
        <f>data!NX31</f>
        <v>1.7124215182944578E-2</v>
      </c>
      <c r="AB15" s="97" t="str">
        <f>data!NY31</f>
        <v/>
      </c>
      <c r="AC15" s="97">
        <f>data!NZ31</f>
        <v>1.5513024599540601E-3</v>
      </c>
      <c r="AD15" s="97">
        <f>data!OA31</f>
        <v>0</v>
      </c>
      <c r="AE15" s="97">
        <f>data!OB31</f>
        <v>1.0905360035884503E-2</v>
      </c>
      <c r="AF15" s="97">
        <f>data!OC31</f>
        <v>1.1321546308384E-3</v>
      </c>
      <c r="AG15" s="97">
        <f>data!OD31</f>
        <v>3.5913395997337286E-3</v>
      </c>
      <c r="AH15" s="97" t="str">
        <f>data!OE31</f>
        <v/>
      </c>
      <c r="AI15" s="97" t="str">
        <f>data!OF31</f>
        <v/>
      </c>
      <c r="AJ15" s="97" t="str">
        <f>data!OG31</f>
        <v/>
      </c>
      <c r="AK15" s="97">
        <f>data!OH31</f>
        <v>9.5261809113170136E-3</v>
      </c>
      <c r="AL15" s="98">
        <f>data!OI31</f>
        <v>7.3206080000000007E-2</v>
      </c>
      <c r="AR15" s="20"/>
    </row>
    <row r="16" spans="1:44" ht="15.75" customHeight="1">
      <c r="A16" s="107">
        <f>data!$NA$32</f>
        <v>13</v>
      </c>
      <c r="B16" s="108">
        <f>data!$NB$32</f>
        <v>2</v>
      </c>
      <c r="C16" s="42">
        <f>data!NC32</f>
        <v>7.3222400000000007E-2</v>
      </c>
      <c r="D16" s="11">
        <f>data!ND32</f>
        <v>3.569234619460711</v>
      </c>
      <c r="E16" s="4">
        <f>data!NE32</f>
        <v>5.133797555861537E-2</v>
      </c>
      <c r="F16" s="11">
        <f>data!NF32</f>
        <v>7.4890516563237464</v>
      </c>
      <c r="G16" s="608"/>
      <c r="H16" s="5">
        <f>data!NH32</f>
        <v>79664782</v>
      </c>
      <c r="I16" s="5">
        <f>data!NI32</f>
        <v>261347925</v>
      </c>
      <c r="J16" s="51">
        <f>data!NJ32</f>
        <v>0.4707298389393697</v>
      </c>
      <c r="K16" s="113">
        <f>data!NK32</f>
        <v>0.99986100903613451</v>
      </c>
      <c r="L16" s="113">
        <f>data!NL32</f>
        <v>0.92243634540853292</v>
      </c>
      <c r="M16" s="54">
        <f>data!NM32</f>
        <v>0.50237527070653665</v>
      </c>
      <c r="N16" s="55">
        <f>data!NN32</f>
        <v>1.0879837590682633</v>
      </c>
      <c r="P16" s="109">
        <f>data!$NA$32</f>
        <v>13</v>
      </c>
      <c r="Q16" s="110">
        <f>data!$NB$32</f>
        <v>2</v>
      </c>
      <c r="R16" s="96">
        <f>data!NO32</f>
        <v>8.8205420837007874E-4</v>
      </c>
      <c r="S16" s="97" t="str">
        <f>data!NP32</f>
        <v/>
      </c>
      <c r="T16" s="97" t="str">
        <f>data!NQ32</f>
        <v/>
      </c>
      <c r="U16" s="97" t="str">
        <f>data!NR32</f>
        <v/>
      </c>
      <c r="V16" s="97" t="str">
        <f>data!NS32</f>
        <v/>
      </c>
      <c r="W16" s="97" t="str">
        <f>data!NT32</f>
        <v/>
      </c>
      <c r="X16" s="97">
        <f>data!NU32</f>
        <v>2.6083449775643835E-2</v>
      </c>
      <c r="Y16" s="97" t="str">
        <f>data!NV32</f>
        <v/>
      </c>
      <c r="Z16" s="97" t="str">
        <f>data!NW32</f>
        <v/>
      </c>
      <c r="AA16" s="97">
        <f>data!NX32</f>
        <v>1.7103910953054354E-2</v>
      </c>
      <c r="AB16" s="97" t="str">
        <f>data!NY32</f>
        <v/>
      </c>
      <c r="AC16" s="97">
        <f>data!NZ32</f>
        <v>1.3547424965441883E-3</v>
      </c>
      <c r="AD16" s="97">
        <f>data!OA32</f>
        <v>0</v>
      </c>
      <c r="AE16" s="97">
        <f>data!OB32</f>
        <v>1.3221715065541711E-2</v>
      </c>
      <c r="AF16" s="97">
        <f>data!OC32</f>
        <v>1.6521017242873773E-3</v>
      </c>
      <c r="AG16" s="97">
        <f>data!OD32</f>
        <v>3.4774894635084615E-3</v>
      </c>
      <c r="AH16" s="97" t="str">
        <f>data!OE32</f>
        <v/>
      </c>
      <c r="AI16" s="97" t="str">
        <f>data!OF32</f>
        <v/>
      </c>
      <c r="AJ16" s="97" t="str">
        <f>data!OG32</f>
        <v/>
      </c>
      <c r="AK16" s="97">
        <f>data!OH32</f>
        <v>9.4469363130499969E-3</v>
      </c>
      <c r="AL16" s="98">
        <f>data!OI32</f>
        <v>7.3222400000000007E-2</v>
      </c>
      <c r="AR16" s="20"/>
    </row>
    <row r="17" spans="1:44" ht="15.75" customHeight="1">
      <c r="A17" s="107">
        <f>data!$NA$33</f>
        <v>9</v>
      </c>
      <c r="B17" s="108">
        <f>data!$NB$33</f>
        <v>0</v>
      </c>
      <c r="C17" s="42">
        <f>data!NC33</f>
        <v>7.3069759999999997E-2</v>
      </c>
      <c r="D17" s="11">
        <f>data!ND33</f>
        <v>3.6910100019488228</v>
      </c>
      <c r="E17" s="4">
        <f>data!NE33</f>
        <v>5.3089527999502631E-2</v>
      </c>
      <c r="F17" s="11">
        <f>data!NF33</f>
        <v>7.6633100204516893</v>
      </c>
      <c r="G17" s="608"/>
      <c r="H17" s="5">
        <f>data!NH33</f>
        <v>78949288</v>
      </c>
      <c r="I17" s="5">
        <f>data!NI33</f>
        <v>269701215</v>
      </c>
      <c r="J17" s="51">
        <f>data!NJ33</f>
        <v>0.49015003149870079</v>
      </c>
      <c r="K17" s="113">
        <f>data!NK33</f>
        <v>0.99986213261961021</v>
      </c>
      <c r="L17" s="113">
        <f>data!NL33</f>
        <v>0.92239274084412237</v>
      </c>
      <c r="M17" s="54">
        <f>data!NM33</f>
        <v>0.49683535366009668</v>
      </c>
      <c r="N17" s="55">
        <f>data!NN33</f>
        <v>1.0804645861708047</v>
      </c>
      <c r="P17" s="109">
        <f>data!$NA$33</f>
        <v>9</v>
      </c>
      <c r="Q17" s="110">
        <f>data!$NB$33</f>
        <v>0</v>
      </c>
      <c r="R17" s="96">
        <f>data!NO33</f>
        <v>7.8079360452174191E-4</v>
      </c>
      <c r="S17" s="97" t="str">
        <f>data!NP33</f>
        <v/>
      </c>
      <c r="T17" s="97" t="str">
        <f>data!NQ33</f>
        <v/>
      </c>
      <c r="U17" s="97" t="str">
        <f>data!NR33</f>
        <v/>
      </c>
      <c r="V17" s="97" t="str">
        <f>data!NS33</f>
        <v/>
      </c>
      <c r="W17" s="97" t="str">
        <f>data!NT33</f>
        <v/>
      </c>
      <c r="X17" s="97">
        <f>data!NU33</f>
        <v>2.8708634419880773E-2</v>
      </c>
      <c r="Y17" s="97" t="str">
        <f>data!NV33</f>
        <v/>
      </c>
      <c r="Z17" s="97" t="str">
        <f>data!NW33</f>
        <v/>
      </c>
      <c r="AA17" s="97">
        <f>data!NX33</f>
        <v>1.7558365276572618E-2</v>
      </c>
      <c r="AB17" s="97" t="str">
        <f>data!NY33</f>
        <v/>
      </c>
      <c r="AC17" s="97">
        <f>data!NZ33</f>
        <v>1.5204338472524846E-3</v>
      </c>
      <c r="AD17" s="97">
        <f>data!OA33</f>
        <v>0</v>
      </c>
      <c r="AE17" s="97">
        <f>data!OB33</f>
        <v>1.0842098318231503E-2</v>
      </c>
      <c r="AF17" s="97">
        <f>data!OC33</f>
        <v>8.0379776738130084E-4</v>
      </c>
      <c r="AG17" s="97">
        <f>data!OD33</f>
        <v>3.4520075291226589E-3</v>
      </c>
      <c r="AH17" s="97" t="str">
        <f>data!OE33</f>
        <v/>
      </c>
      <c r="AI17" s="97" t="str">
        <f>data!OF33</f>
        <v/>
      </c>
      <c r="AJ17" s="97" t="str">
        <f>data!OG33</f>
        <v/>
      </c>
      <c r="AK17" s="97">
        <f>data!OH33</f>
        <v>9.4036292370369146E-3</v>
      </c>
      <c r="AL17" s="98">
        <f>data!OI33</f>
        <v>7.3069759999999997E-2</v>
      </c>
      <c r="AR17" s="20"/>
    </row>
    <row r="18" spans="1:44" ht="15.75" customHeight="1">
      <c r="A18" s="107">
        <f>data!$NA$34</f>
        <v>9</v>
      </c>
      <c r="B18" s="108">
        <f>data!$NB$34</f>
        <v>1</v>
      </c>
      <c r="C18" s="42">
        <f>data!NC34</f>
        <v>7.3046079999999999E-2</v>
      </c>
      <c r="D18" s="11">
        <f>data!ND34</f>
        <v>3.5778501050295919</v>
      </c>
      <c r="E18" s="4">
        <f>data!NE34</f>
        <v>5.1461896128350192E-2</v>
      </c>
      <c r="F18" s="11">
        <f>data!NF34</f>
        <v>7.4266343655949774</v>
      </c>
      <c r="G18" s="608"/>
      <c r="H18" s="5">
        <f>data!NH34</f>
        <v>79991662</v>
      </c>
      <c r="I18" s="5">
        <f>data!NI34</f>
        <v>261347925</v>
      </c>
      <c r="J18" s="51">
        <f>data!NJ34</f>
        <v>0.46880561126483405</v>
      </c>
      <c r="K18" s="113">
        <f>data!NK34</f>
        <v>0.99986100903613451</v>
      </c>
      <c r="L18" s="113">
        <f>data!NL34</f>
        <v>0.92241478878669525</v>
      </c>
      <c r="M18" s="54">
        <f>data!NM34</f>
        <v>0.50401507177270599</v>
      </c>
      <c r="N18" s="55">
        <f>data!NN34</f>
        <v>1.0950849381650598</v>
      </c>
      <c r="P18" s="109">
        <f>data!$NA$34</f>
        <v>9</v>
      </c>
      <c r="Q18" s="110">
        <f>data!$NB$34</f>
        <v>1</v>
      </c>
      <c r="R18" s="96">
        <f>data!NO34</f>
        <v>7.6446738087898038E-4</v>
      </c>
      <c r="S18" s="97" t="str">
        <f>data!NP34</f>
        <v/>
      </c>
      <c r="T18" s="97" t="str">
        <f>data!NQ34</f>
        <v/>
      </c>
      <c r="U18" s="97" t="str">
        <f>data!NR34</f>
        <v/>
      </c>
      <c r="V18" s="97" t="str">
        <f>data!NS34</f>
        <v/>
      </c>
      <c r="W18" s="97" t="str">
        <f>data!NT34</f>
        <v/>
      </c>
      <c r="X18" s="97">
        <f>data!NU34</f>
        <v>2.727180023902585E-2</v>
      </c>
      <c r="Y18" s="97" t="str">
        <f>data!NV34</f>
        <v/>
      </c>
      <c r="Z18" s="97" t="str">
        <f>data!NW34</f>
        <v/>
      </c>
      <c r="AA18" s="97">
        <f>data!NX34</f>
        <v>1.7137709382503041E-2</v>
      </c>
      <c r="AB18" s="97" t="str">
        <f>data!NY34</f>
        <v/>
      </c>
      <c r="AC18" s="97">
        <f>data!NZ34</f>
        <v>1.4212327192297302E-3</v>
      </c>
      <c r="AD18" s="97">
        <f>data!OA34</f>
        <v>0</v>
      </c>
      <c r="AE18" s="97">
        <f>data!OB34</f>
        <v>1.2220671533363875E-2</v>
      </c>
      <c r="AF18" s="97">
        <f>data!OC34</f>
        <v>1.3530870460858476E-3</v>
      </c>
      <c r="AG18" s="97">
        <f>data!OD34</f>
        <v>3.4742748049985004E-3</v>
      </c>
      <c r="AH18" s="97" t="str">
        <f>data!OE34</f>
        <v/>
      </c>
      <c r="AI18" s="97" t="str">
        <f>data!OF34</f>
        <v/>
      </c>
      <c r="AJ18" s="97" t="str">
        <f>data!OG34</f>
        <v/>
      </c>
      <c r="AK18" s="97">
        <f>data!OH34</f>
        <v>9.4028368939141731E-3</v>
      </c>
      <c r="AL18" s="98">
        <f>data!OI34</f>
        <v>7.3046079999999999E-2</v>
      </c>
      <c r="AR18" s="20"/>
    </row>
    <row r="19" spans="1:44" ht="15.75" customHeight="1">
      <c r="A19" s="107">
        <f>data!$NA$35</f>
        <v>9</v>
      </c>
      <c r="B19" s="108">
        <f>data!$NB$35</f>
        <v>2</v>
      </c>
      <c r="C19" s="42">
        <f>data!NC35</f>
        <v>7.3032319999999998E-2</v>
      </c>
      <c r="D19" s="11">
        <f>data!ND35</f>
        <v>3.578524206816927</v>
      </c>
      <c r="E19" s="4">
        <f>data!NE35</f>
        <v>5.1471592050521722E-2</v>
      </c>
      <c r="F19" s="11">
        <f>data!NF35</f>
        <v>7.4591150876762509</v>
      </c>
      <c r="G19" s="608"/>
      <c r="H19" s="5">
        <f>data!NH35</f>
        <v>79033831</v>
      </c>
      <c r="I19" s="5">
        <f>data!NI35</f>
        <v>261347925</v>
      </c>
      <c r="J19" s="51">
        <f>data!NJ35</f>
        <v>0.47448718511443538</v>
      </c>
      <c r="K19" s="113">
        <f>data!NK35</f>
        <v>0.99986100903613451</v>
      </c>
      <c r="L19" s="113">
        <f>data!NL35</f>
        <v>0.92240204741328768</v>
      </c>
      <c r="M19" s="54">
        <f>data!NM35</f>
        <v>0.49810350752176413</v>
      </c>
      <c r="N19" s="55">
        <f>data!NN35</f>
        <v>1.0821760968294585</v>
      </c>
      <c r="P19" s="109">
        <f>data!$NA$35</f>
        <v>9</v>
      </c>
      <c r="Q19" s="110">
        <f>data!$NB$35</f>
        <v>2</v>
      </c>
      <c r="R19" s="96">
        <f>data!NO35</f>
        <v>7.411965340438486E-4</v>
      </c>
      <c r="S19" s="97" t="str">
        <f>data!NP35</f>
        <v/>
      </c>
      <c r="T19" s="97" t="str">
        <f>data!NQ35</f>
        <v/>
      </c>
      <c r="U19" s="97" t="str">
        <f>data!NR35</f>
        <v/>
      </c>
      <c r="V19" s="97" t="str">
        <f>data!NS35</f>
        <v/>
      </c>
      <c r="W19" s="97" t="str">
        <f>data!NT35</f>
        <v/>
      </c>
      <c r="X19" s="97">
        <f>data!NU35</f>
        <v>2.6804518277779205E-2</v>
      </c>
      <c r="Y19" s="97" t="str">
        <f>data!NV35</f>
        <v/>
      </c>
      <c r="Z19" s="97" t="str">
        <f>data!NW35</f>
        <v/>
      </c>
      <c r="AA19" s="97">
        <f>data!NX35</f>
        <v>1.7113437192983059E-2</v>
      </c>
      <c r="AB19" s="97" t="str">
        <f>data!NY35</f>
        <v/>
      </c>
      <c r="AC19" s="97">
        <f>data!NZ35</f>
        <v>1.2970593541978921E-3</v>
      </c>
      <c r="AD19" s="97">
        <f>data!OA35</f>
        <v>0</v>
      </c>
      <c r="AE19" s="97">
        <f>data!OB35</f>
        <v>1.3025019588674745E-2</v>
      </c>
      <c r="AF19" s="97">
        <f>data!OC35</f>
        <v>1.2559630604918369E-3</v>
      </c>
      <c r="AG19" s="97">
        <f>data!OD35</f>
        <v>3.3941166901133597E-3</v>
      </c>
      <c r="AH19" s="97" t="str">
        <f>data!OE35</f>
        <v/>
      </c>
      <c r="AI19" s="97" t="str">
        <f>data!OF35</f>
        <v/>
      </c>
      <c r="AJ19" s="97" t="str">
        <f>data!OG35</f>
        <v/>
      </c>
      <c r="AK19" s="97">
        <f>data!OH35</f>
        <v>9.4010093017160498E-3</v>
      </c>
      <c r="AL19" s="98">
        <f>data!OI35</f>
        <v>7.3032319999999998E-2</v>
      </c>
      <c r="AR19" s="20"/>
    </row>
    <row r="20" spans="1:44" ht="15.75" customHeight="1">
      <c r="A20" s="107">
        <f>data!$NA$36</f>
        <v>5</v>
      </c>
      <c r="B20" s="108">
        <f>data!$NB$36</f>
        <v>0</v>
      </c>
      <c r="C20" s="42">
        <f>data!NC36</f>
        <v>7.2177920000000007E-2</v>
      </c>
      <c r="D20" s="11">
        <f>data!ND36</f>
        <v>3.7366166135017465</v>
      </c>
      <c r="E20" s="4">
        <f>data!NE36</f>
        <v>5.3745509283683116E-2</v>
      </c>
      <c r="F20" s="11">
        <f>data!NF36</f>
        <v>7.7079465853269244</v>
      </c>
      <c r="G20" s="608"/>
      <c r="H20" s="5">
        <f>data!NH36</f>
        <v>78261401</v>
      </c>
      <c r="I20" s="5">
        <f>data!NI36</f>
        <v>269701215</v>
      </c>
      <c r="J20" s="51">
        <f>data!NJ36</f>
        <v>0.49445889679383581</v>
      </c>
      <c r="K20" s="113">
        <f>data!NK36</f>
        <v>0.99986213261961021</v>
      </c>
      <c r="L20" s="113">
        <f>data!NL36</f>
        <v>0.9224110669628377</v>
      </c>
      <c r="M20" s="54">
        <f>data!NM36</f>
        <v>0.50049006347399883</v>
      </c>
      <c r="N20" s="55">
        <f>data!NN36</f>
        <v>1.0842845152645018</v>
      </c>
      <c r="P20" s="109">
        <f>data!$NA$36</f>
        <v>5</v>
      </c>
      <c r="Q20" s="110">
        <f>data!$NB$36</f>
        <v>0</v>
      </c>
      <c r="R20" s="96">
        <f>data!NO36</f>
        <v>4.2894287189496804E-4</v>
      </c>
      <c r="S20" s="97" t="str">
        <f>data!NP36</f>
        <v/>
      </c>
      <c r="T20" s="97" t="str">
        <f>data!NQ36</f>
        <v/>
      </c>
      <c r="U20" s="97" t="str">
        <f>data!NR36</f>
        <v/>
      </c>
      <c r="V20" s="97" t="str">
        <f>data!NS36</f>
        <v/>
      </c>
      <c r="W20" s="97" t="str">
        <f>data!NT36</f>
        <v/>
      </c>
      <c r="X20" s="97">
        <f>data!NU36</f>
        <v>2.6858305433558719E-2</v>
      </c>
      <c r="Y20" s="97" t="str">
        <f>data!NV36</f>
        <v/>
      </c>
      <c r="Z20" s="97" t="str">
        <f>data!NW36</f>
        <v/>
      </c>
      <c r="AA20" s="97">
        <f>data!NX36</f>
        <v>1.7496388567595413E-2</v>
      </c>
      <c r="AB20" s="97" t="str">
        <f>data!NY36</f>
        <v/>
      </c>
      <c r="AC20" s="97">
        <f>data!NZ36</f>
        <v>1.393848876169098E-3</v>
      </c>
      <c r="AD20" s="97">
        <f>data!OA36</f>
        <v>0</v>
      </c>
      <c r="AE20" s="97">
        <f>data!OB36</f>
        <v>1.2233623017832328E-2</v>
      </c>
      <c r="AF20" s="97">
        <f>data!OC36</f>
        <v>1.2289262923744603E-3</v>
      </c>
      <c r="AG20" s="97">
        <f>data!OD36</f>
        <v>3.3657649639314614E-3</v>
      </c>
      <c r="AH20" s="97" t="str">
        <f>data!OE36</f>
        <v/>
      </c>
      <c r="AI20" s="97" t="str">
        <f>data!OF36</f>
        <v/>
      </c>
      <c r="AJ20" s="97" t="str">
        <f>data!OG36</f>
        <v/>
      </c>
      <c r="AK20" s="97">
        <f>data!OH36</f>
        <v>9.1721199766435571E-3</v>
      </c>
      <c r="AL20" s="98">
        <f>data!OI36</f>
        <v>7.2177920000000007E-2</v>
      </c>
      <c r="AR20" s="20"/>
    </row>
    <row r="21" spans="1:44" ht="15.75" customHeight="1">
      <c r="A21" s="107">
        <f>data!$NA$37</f>
        <v>5</v>
      </c>
      <c r="B21" s="108">
        <f>data!$NB$37</f>
        <v>1</v>
      </c>
      <c r="C21" s="42">
        <f>data!NC37</f>
        <v>7.2136640000000002E-2</v>
      </c>
      <c r="D21" s="11">
        <f>data!ND37</f>
        <v>3.6229567249042924</v>
      </c>
      <c r="E21" s="4">
        <f>data!NE37</f>
        <v>5.2110685797718867E-2</v>
      </c>
      <c r="F21" s="11">
        <f>data!NF37</f>
        <v>7.3937301210591455</v>
      </c>
      <c r="G21" s="608"/>
      <c r="H21" s="5">
        <f>data!NH37</f>
        <v>79715388</v>
      </c>
      <c r="I21" s="5">
        <f>data!NI37</f>
        <v>261347925</v>
      </c>
      <c r="J21" s="51">
        <f>data!NJ37</f>
        <v>0.47043037662941561</v>
      </c>
      <c r="K21" s="113">
        <f>data!NK37</f>
        <v>0.99986100903613451</v>
      </c>
      <c r="L21" s="113">
        <f>data!NL37</f>
        <v>0.92243488068315482</v>
      </c>
      <c r="M21" s="54">
        <f>data!NM37</f>
        <v>0.5100462335161301</v>
      </c>
      <c r="N21" s="55">
        <f>data!NN37</f>
        <v>1.1050610064455455</v>
      </c>
      <c r="P21" s="109">
        <f>data!$NA$37</f>
        <v>5</v>
      </c>
      <c r="Q21" s="110">
        <f>data!$NB$37</f>
        <v>1</v>
      </c>
      <c r="R21" s="96">
        <f>data!NO37</f>
        <v>4.1277588260813842E-4</v>
      </c>
      <c r="S21" s="97" t="str">
        <f>data!NP37</f>
        <v/>
      </c>
      <c r="T21" s="97" t="str">
        <f>data!NQ37</f>
        <v/>
      </c>
      <c r="U21" s="97" t="str">
        <f>data!NR37</f>
        <v/>
      </c>
      <c r="V21" s="97" t="str">
        <f>data!NS37</f>
        <v/>
      </c>
      <c r="W21" s="97" t="str">
        <f>data!NT37</f>
        <v/>
      </c>
      <c r="X21" s="97">
        <f>data!NU37</f>
        <v>2.789122782798938E-2</v>
      </c>
      <c r="Y21" s="97" t="str">
        <f>data!NV37</f>
        <v/>
      </c>
      <c r="Z21" s="97" t="str">
        <f>data!NW37</f>
        <v/>
      </c>
      <c r="AA21" s="97">
        <f>data!NX37</f>
        <v>1.7041521041688892E-2</v>
      </c>
      <c r="AB21" s="97" t="str">
        <f>data!NY37</f>
        <v/>
      </c>
      <c r="AC21" s="97">
        <f>data!NZ37</f>
        <v>1.4307793761659544E-3</v>
      </c>
      <c r="AD21" s="97">
        <f>data!OA37</f>
        <v>0</v>
      </c>
      <c r="AE21" s="97">
        <f>data!OB37</f>
        <v>1.1449728500132936E-2</v>
      </c>
      <c r="AF21" s="97">
        <f>data!OC37</f>
        <v>1.1474591366279494E-3</v>
      </c>
      <c r="AG21" s="97">
        <f>data!OD37</f>
        <v>3.4452509777666606E-3</v>
      </c>
      <c r="AH21" s="97" t="str">
        <f>data!OE37</f>
        <v/>
      </c>
      <c r="AI21" s="97" t="str">
        <f>data!OF37</f>
        <v/>
      </c>
      <c r="AJ21" s="97" t="str">
        <f>data!OG37</f>
        <v/>
      </c>
      <c r="AK21" s="97">
        <f>data!OH37</f>
        <v>9.3178972570200878E-3</v>
      </c>
      <c r="AL21" s="98">
        <f>data!OI37</f>
        <v>7.2136640000000002E-2</v>
      </c>
      <c r="AR21" s="20"/>
    </row>
    <row r="22" spans="1:44" ht="15.75" customHeight="1">
      <c r="A22" s="107">
        <f>data!$NA$38</f>
        <v>5</v>
      </c>
      <c r="B22" s="108">
        <f>data!$NB$38</f>
        <v>2</v>
      </c>
      <c r="C22" s="42">
        <f>data!NC38</f>
        <v>7.215328E-2</v>
      </c>
      <c r="D22" s="11">
        <f>data!ND38</f>
        <v>3.6221211980938355</v>
      </c>
      <c r="E22" s="4">
        <f>data!NE38</f>
        <v>5.2098668023728908E-2</v>
      </c>
      <c r="F22" s="11">
        <f>data!NF38</f>
        <v>7.5342856762714039</v>
      </c>
      <c r="G22" s="608"/>
      <c r="H22" s="5">
        <f>data!NH38</f>
        <v>79495810</v>
      </c>
      <c r="I22" s="5">
        <f>data!NI38</f>
        <v>261347925</v>
      </c>
      <c r="J22" s="51">
        <f>data!NJ38</f>
        <v>0.47172976789594318</v>
      </c>
      <c r="K22" s="113">
        <f>data!NK38</f>
        <v>0.99986100903613451</v>
      </c>
      <c r="L22" s="113">
        <f>data!NL38</f>
        <v>0.92244627380910837</v>
      </c>
      <c r="M22" s="54">
        <f>data!NM38</f>
        <v>0.50708959461988745</v>
      </c>
      <c r="N22" s="55">
        <f>data!NN38</f>
        <v>1.1017629413382177</v>
      </c>
      <c r="P22" s="109">
        <f>data!$NA$38</f>
        <v>5</v>
      </c>
      <c r="Q22" s="110">
        <f>data!$NB$38</f>
        <v>2</v>
      </c>
      <c r="R22" s="96">
        <f>data!NO38</f>
        <v>4.7841125632873589E-4</v>
      </c>
      <c r="S22" s="97" t="str">
        <f>data!NP38</f>
        <v/>
      </c>
      <c r="T22" s="97" t="str">
        <f>data!NQ38</f>
        <v/>
      </c>
      <c r="U22" s="97" t="str">
        <f>data!NR38</f>
        <v/>
      </c>
      <c r="V22" s="97" t="str">
        <f>data!NS38</f>
        <v/>
      </c>
      <c r="W22" s="97" t="str">
        <f>data!NT38</f>
        <v/>
      </c>
      <c r="X22" s="97">
        <f>data!NU38</f>
        <v>2.8086011713924813E-2</v>
      </c>
      <c r="Y22" s="97" t="str">
        <f>data!NV38</f>
        <v/>
      </c>
      <c r="Z22" s="97" t="str">
        <f>data!NW38</f>
        <v/>
      </c>
      <c r="AA22" s="97">
        <f>data!NX38</f>
        <v>1.708995689765928E-2</v>
      </c>
      <c r="AB22" s="97" t="str">
        <f>data!NY38</f>
        <v/>
      </c>
      <c r="AC22" s="97">
        <f>data!NZ38</f>
        <v>1.3398514575063689E-3</v>
      </c>
      <c r="AD22" s="97">
        <f>data!OA38</f>
        <v>0</v>
      </c>
      <c r="AE22" s="97">
        <f>data!OB38</f>
        <v>1.1427843133062679E-2</v>
      </c>
      <c r="AF22" s="97">
        <f>data!OC38</f>
        <v>1.0378933724000169E-3</v>
      </c>
      <c r="AG22" s="97">
        <f>data!OD38</f>
        <v>3.4049692674946916E-3</v>
      </c>
      <c r="AH22" s="97" t="str">
        <f>data!OE38</f>
        <v/>
      </c>
      <c r="AI22" s="97" t="str">
        <f>data!OF38</f>
        <v/>
      </c>
      <c r="AJ22" s="97" t="str">
        <f>data!OG38</f>
        <v/>
      </c>
      <c r="AK22" s="97">
        <f>data!OH38</f>
        <v>9.2883429016234163E-3</v>
      </c>
      <c r="AL22" s="98">
        <f>data!OI38</f>
        <v>7.215328E-2</v>
      </c>
      <c r="AR22" s="20"/>
    </row>
    <row r="23" spans="1:44" ht="15.75" customHeight="1">
      <c r="A23" s="107">
        <f>data!$NA$39</f>
        <v>1</v>
      </c>
      <c r="B23" s="108">
        <f>data!$NB$39</f>
        <v>0</v>
      </c>
      <c r="C23" s="42">
        <f>data!NC39</f>
        <v>7.2757440000000007E-2</v>
      </c>
      <c r="D23" s="11">
        <f>data!ND39</f>
        <v>3.7068541031680056</v>
      </c>
      <c r="E23" s="4">
        <f>data!NE39</f>
        <v>5.3317421138469649E-2</v>
      </c>
      <c r="F23" s="11">
        <f>data!NF39</f>
        <v>7.6614038096997357</v>
      </c>
      <c r="G23" s="608"/>
      <c r="H23" s="5">
        <f>data!NH39</f>
        <v>79047313</v>
      </c>
      <c r="I23" s="5">
        <f>data!NI39</f>
        <v>269701215</v>
      </c>
      <c r="J23" s="51">
        <f>data!NJ39</f>
        <v>0.48954220619744532</v>
      </c>
      <c r="K23" s="113">
        <f>data!NK39</f>
        <v>0.99986213261961021</v>
      </c>
      <c r="L23" s="113">
        <f>data!NL39</f>
        <v>0.92236889177066839</v>
      </c>
      <c r="M23" s="54">
        <f>data!NM39</f>
        <v>0.49980494298915962</v>
      </c>
      <c r="N23" s="55">
        <f>data!NN39</f>
        <v>1.0864498943338301</v>
      </c>
      <c r="P23" s="109">
        <f>data!$NA$39</f>
        <v>1</v>
      </c>
      <c r="Q23" s="110">
        <f>data!$NB$39</f>
        <v>0</v>
      </c>
      <c r="R23" s="96">
        <f>data!NO39</f>
        <v>7.1560323090866088E-4</v>
      </c>
      <c r="S23" s="97" t="str">
        <f>data!NP39</f>
        <v/>
      </c>
      <c r="T23" s="97" t="str">
        <f>data!NQ39</f>
        <v/>
      </c>
      <c r="U23" s="97" t="str">
        <f>data!NR39</f>
        <v/>
      </c>
      <c r="V23" s="97" t="str">
        <f>data!NS39</f>
        <v/>
      </c>
      <c r="W23" s="97" t="str">
        <f>data!NT39</f>
        <v/>
      </c>
      <c r="X23" s="97">
        <f>data!NU39</f>
        <v>2.7034348916632693E-2</v>
      </c>
      <c r="Y23" s="97" t="str">
        <f>data!NV39</f>
        <v/>
      </c>
      <c r="Z23" s="97" t="str">
        <f>data!NW39</f>
        <v/>
      </c>
      <c r="AA23" s="97">
        <f>data!NX39</f>
        <v>1.7360946443587811E-2</v>
      </c>
      <c r="AB23" s="97" t="str">
        <f>data!NY39</f>
        <v/>
      </c>
      <c r="AC23" s="97">
        <f>data!NZ39</f>
        <v>1.344738123043048E-3</v>
      </c>
      <c r="AD23" s="97">
        <f>data!OA39</f>
        <v>0</v>
      </c>
      <c r="AE23" s="97">
        <f>data!OB39</f>
        <v>1.2477420447678789E-2</v>
      </c>
      <c r="AF23" s="97">
        <f>data!OC39</f>
        <v>1.2579323979717008E-3</v>
      </c>
      <c r="AG23" s="97">
        <f>data!OD39</f>
        <v>3.3102918540369179E-3</v>
      </c>
      <c r="AH23" s="97" t="str">
        <f>data!OE39</f>
        <v/>
      </c>
      <c r="AI23" s="97" t="str">
        <f>data!OF39</f>
        <v/>
      </c>
      <c r="AJ23" s="97" t="str">
        <f>data!OG39</f>
        <v/>
      </c>
      <c r="AK23" s="97">
        <f>data!OH39</f>
        <v>9.2561585861403832E-3</v>
      </c>
      <c r="AL23" s="98">
        <f>data!OI39</f>
        <v>7.2757440000000007E-2</v>
      </c>
      <c r="AR23" s="20"/>
    </row>
    <row r="24" spans="1:44" ht="15.75" customHeight="1">
      <c r="A24" s="107">
        <f>data!$NA$40</f>
        <v>1</v>
      </c>
      <c r="B24" s="108">
        <f>data!$NB$40</f>
        <v>1</v>
      </c>
      <c r="C24" s="42">
        <f>data!NC40</f>
        <v>7.2713600000000003E-2</v>
      </c>
      <c r="D24" s="11">
        <f>data!ND40</f>
        <v>3.5942096801698713</v>
      </c>
      <c r="E24" s="4">
        <f>data!NE40</f>
        <v>5.1697203570489673E-2</v>
      </c>
      <c r="F24" s="11">
        <f>data!NF40</f>
        <v>7.5655679267702327</v>
      </c>
      <c r="G24" s="608"/>
      <c r="H24" s="5">
        <f>data!NH40</f>
        <v>80257470</v>
      </c>
      <c r="I24" s="5">
        <f>data!NI40</f>
        <v>261347925</v>
      </c>
      <c r="J24" s="51">
        <f>data!NJ40</f>
        <v>0.46725357776665521</v>
      </c>
      <c r="K24" s="113">
        <f>data!NK40</f>
        <v>0.99986100903613451</v>
      </c>
      <c r="L24" s="113">
        <f>data!NL40</f>
        <v>0.9223990539963729</v>
      </c>
      <c r="M24" s="54">
        <f>data!NM40</f>
        <v>0.50724684304413215</v>
      </c>
      <c r="N24" s="55">
        <f>data!NN40</f>
        <v>1.1037477170708092</v>
      </c>
      <c r="P24" s="109">
        <f>data!$NA$40</f>
        <v>1</v>
      </c>
      <c r="Q24" s="110">
        <f>data!$NB$40</f>
        <v>1</v>
      </c>
      <c r="R24" s="96">
        <f>data!NO40</f>
        <v>6.915161308028245E-4</v>
      </c>
      <c r="S24" s="97" t="str">
        <f>data!NP40</f>
        <v/>
      </c>
      <c r="T24" s="97" t="str">
        <f>data!NQ40</f>
        <v/>
      </c>
      <c r="U24" s="97" t="str">
        <f>data!NR40</f>
        <v/>
      </c>
      <c r="V24" s="97" t="str">
        <f>data!NS40</f>
        <v/>
      </c>
      <c r="W24" s="97" t="str">
        <f>data!NT40</f>
        <v/>
      </c>
      <c r="X24" s="97">
        <f>data!NU40</f>
        <v>2.8596689288485862E-2</v>
      </c>
      <c r="Y24" s="97" t="str">
        <f>data!NV40</f>
        <v/>
      </c>
      <c r="Z24" s="97" t="str">
        <f>data!NW40</f>
        <v/>
      </c>
      <c r="AA24" s="97">
        <f>data!NX40</f>
        <v>1.6943455669563987E-2</v>
      </c>
      <c r="AB24" s="97" t="str">
        <f>data!NY40</f>
        <v/>
      </c>
      <c r="AC24" s="97">
        <f>data!NZ40</f>
        <v>1.3672644172169118E-3</v>
      </c>
      <c r="AD24" s="97">
        <f>data!OA40</f>
        <v>0</v>
      </c>
      <c r="AE24" s="97">
        <f>data!OB40</f>
        <v>1.1540990750177157E-2</v>
      </c>
      <c r="AF24" s="97">
        <f>data!OC40</f>
        <v>7.6231063731351781E-4</v>
      </c>
      <c r="AG24" s="97">
        <f>data!OD40</f>
        <v>3.407143949741006E-3</v>
      </c>
      <c r="AH24" s="97" t="str">
        <f>data!OE40</f>
        <v/>
      </c>
      <c r="AI24" s="97" t="str">
        <f>data!OF40</f>
        <v/>
      </c>
      <c r="AJ24" s="97" t="str">
        <f>data!OG40</f>
        <v/>
      </c>
      <c r="AK24" s="97">
        <f>data!OH40</f>
        <v>9.4042291566987356E-3</v>
      </c>
      <c r="AL24" s="98">
        <f>data!OI40</f>
        <v>7.2713600000000003E-2</v>
      </c>
      <c r="AR24" s="20"/>
    </row>
    <row r="25" spans="1:44" ht="15.75" customHeight="1" thickBot="1">
      <c r="A25" s="114">
        <f>data!$NA$41</f>
        <v>1</v>
      </c>
      <c r="B25" s="463">
        <f>data!$NB$41</f>
        <v>2</v>
      </c>
      <c r="C25" s="115">
        <f>data!NC41</f>
        <v>7.273056E-2</v>
      </c>
      <c r="D25" s="116">
        <f>data!ND41</f>
        <v>3.5933715483560142</v>
      </c>
      <c r="E25" s="32">
        <f>data!NE41</f>
        <v>5.168514832751403E-2</v>
      </c>
      <c r="F25" s="116">
        <f>data!NF41</f>
        <v>7.4524289102132579</v>
      </c>
      <c r="G25" s="608"/>
      <c r="H25" s="33">
        <f>data!NH41</f>
        <v>79991696</v>
      </c>
      <c r="I25" s="33">
        <f>data!NI41</f>
        <v>261347925</v>
      </c>
      <c r="J25" s="117">
        <f>data!NJ41</f>
        <v>0.46880603706664753</v>
      </c>
      <c r="K25" s="118">
        <f>data!NK41</f>
        <v>0.99986100903613451</v>
      </c>
      <c r="L25" s="118">
        <f>data!NL41</f>
        <v>0.92241539500597391</v>
      </c>
      <c r="M25" s="119">
        <f>data!NM41</f>
        <v>0.50548447558585763</v>
      </c>
      <c r="N25" s="120">
        <f>data!NN41</f>
        <v>1.0998361074079452</v>
      </c>
      <c r="P25" s="114">
        <f>data!$NA$41</f>
        <v>1</v>
      </c>
      <c r="Q25" s="463">
        <f>data!$NB$41</f>
        <v>2</v>
      </c>
      <c r="R25" s="99">
        <f>data!NO41</f>
        <v>7.2017540846906942E-4</v>
      </c>
      <c r="S25" s="100" t="str">
        <f>data!NP41</f>
        <v/>
      </c>
      <c r="T25" s="100" t="str">
        <f>data!NQ41</f>
        <v/>
      </c>
      <c r="U25" s="100" t="str">
        <f>data!NR41</f>
        <v/>
      </c>
      <c r="V25" s="100" t="str">
        <f>data!NS41</f>
        <v/>
      </c>
      <c r="W25" s="100" t="str">
        <f>data!NT41</f>
        <v/>
      </c>
      <c r="X25" s="100">
        <f>data!NU41</f>
        <v>2.739051186419247E-2</v>
      </c>
      <c r="Y25" s="100" t="str">
        <f>data!NV41</f>
        <v/>
      </c>
      <c r="Z25" s="100" t="str">
        <f>data!NW41</f>
        <v/>
      </c>
      <c r="AA25" s="100">
        <f>data!NX41</f>
        <v>1.6990694925697925E-2</v>
      </c>
      <c r="AB25" s="100" t="str">
        <f>data!NY41</f>
        <v/>
      </c>
      <c r="AC25" s="100">
        <f>data!NZ41</f>
        <v>1.5557273862402438E-3</v>
      </c>
      <c r="AD25" s="100">
        <f>data!OA41</f>
        <v>0</v>
      </c>
      <c r="AE25" s="100">
        <f>data!OB41</f>
        <v>1.181406054749418E-2</v>
      </c>
      <c r="AF25" s="100">
        <f>data!OC41</f>
        <v>1.2648271967144896E-3</v>
      </c>
      <c r="AG25" s="100">
        <f>data!OD41</f>
        <v>3.5620718981288764E-3</v>
      </c>
      <c r="AH25" s="100" t="str">
        <f>data!OE41</f>
        <v/>
      </c>
      <c r="AI25" s="100" t="str">
        <f>data!OF41</f>
        <v/>
      </c>
      <c r="AJ25" s="100" t="str">
        <f>data!OG41</f>
        <v/>
      </c>
      <c r="AK25" s="100">
        <f>data!OH41</f>
        <v>9.4324907730627457E-3</v>
      </c>
      <c r="AL25" s="101">
        <f>data!OI41</f>
        <v>7.273056E-2</v>
      </c>
      <c r="AR25" s="20"/>
    </row>
    <row r="26" spans="1:44" ht="15.75" customHeight="1" thickTop="1" thickBot="1">
      <c r="A26" s="631" t="str">
        <f>data!$NB$42</f>
        <v>CMG 1 total</v>
      </c>
      <c r="B26" s="632"/>
      <c r="C26" s="464">
        <f>data!NC42</f>
        <v>7.2791519999999998E-2</v>
      </c>
      <c r="D26" s="465">
        <f>data!ND42</f>
        <v>43.543372359857301</v>
      </c>
      <c r="E26" s="466">
        <f>data!NE42</f>
        <v>5.2193531822290001E-2</v>
      </c>
      <c r="F26" s="465">
        <f>data!NF42</f>
        <v>90.426972812217684</v>
      </c>
      <c r="G26" s="466">
        <f>data!NG42</f>
        <v>0.35323036254772533</v>
      </c>
      <c r="H26" s="467">
        <f>data!NH42</f>
        <v>952885593</v>
      </c>
      <c r="I26" s="467">
        <f>data!NI42</f>
        <v>3169588260</v>
      </c>
      <c r="J26" s="468">
        <f>data!NJ42</f>
        <v>0.47727933693294911</v>
      </c>
      <c r="K26" s="468">
        <f>data!NK42</f>
        <v>0.99986139146035324</v>
      </c>
      <c r="L26" s="468">
        <f>data!NL42</f>
        <v>0.92240587605806523</v>
      </c>
      <c r="M26" s="469">
        <f>data!NM42</f>
        <v>0.50242284959596117</v>
      </c>
      <c r="N26" s="470">
        <f>data!NN42</f>
        <v>13.090612656529222</v>
      </c>
      <c r="P26" s="631" t="str">
        <f>data!$NB$42</f>
        <v>CMG 1 total</v>
      </c>
      <c r="Q26" s="632"/>
      <c r="R26" s="473">
        <f>data!NO42</f>
        <v>6.8790055816951329E-4</v>
      </c>
      <c r="S26" s="474" t="str">
        <f>data!NP42</f>
        <v/>
      </c>
      <c r="T26" s="474" t="str">
        <f>data!NQ42</f>
        <v/>
      </c>
      <c r="U26" s="474" t="str">
        <f>data!NR42</f>
        <v/>
      </c>
      <c r="V26" s="474" t="str">
        <f>data!NS42</f>
        <v/>
      </c>
      <c r="W26" s="474" t="str">
        <f>data!NT42</f>
        <v/>
      </c>
      <c r="X26" s="474">
        <f>data!NU42</f>
        <v>2.7604074442268856E-2</v>
      </c>
      <c r="Y26" s="474" t="str">
        <f>data!NV42</f>
        <v/>
      </c>
      <c r="Z26" s="474" t="str">
        <f>data!NW42</f>
        <v/>
      </c>
      <c r="AA26" s="474">
        <f>data!NX42</f>
        <v>1.721291124111585E-2</v>
      </c>
      <c r="AB26" s="474" t="str">
        <f>data!NY42</f>
        <v/>
      </c>
      <c r="AC26" s="474">
        <f>data!NZ42</f>
        <v>1.4177994841781062E-3</v>
      </c>
      <c r="AD26" s="474">
        <f>data!OA42</f>
        <v>0</v>
      </c>
      <c r="AE26" s="474">
        <f>data!OB42</f>
        <v>1.1902807002082537E-2</v>
      </c>
      <c r="AF26" s="474">
        <f>data!OC42</f>
        <v>1.1568325683864579E-3</v>
      </c>
      <c r="AG26" s="474">
        <f>data!OD42</f>
        <v>3.4416565078851692E-3</v>
      </c>
      <c r="AH26" s="474" t="str">
        <f>data!OE42</f>
        <v/>
      </c>
      <c r="AI26" s="474" t="str">
        <f>data!OF42</f>
        <v/>
      </c>
      <c r="AJ26" s="474" t="str">
        <f>data!OG42</f>
        <v/>
      </c>
      <c r="AK26" s="474">
        <f>data!OH42</f>
        <v>9.3675381959135058E-3</v>
      </c>
      <c r="AL26" s="475">
        <f>data!OI42</f>
        <v>7.2791519999999998E-2</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13</v>
      </c>
      <c r="B34" s="106">
        <f>data!$NB$30</f>
        <v>0</v>
      </c>
      <c r="C34" s="44">
        <f>data!OJ30</f>
        <v>0.10483665458860439</v>
      </c>
      <c r="D34" s="44">
        <f>data!OK30</f>
        <v>9.7619329305441607E-2</v>
      </c>
      <c r="E34" s="44" t="str">
        <f>data!OL30</f>
        <v/>
      </c>
      <c r="F34" s="44" t="str">
        <f>data!OM30</f>
        <v/>
      </c>
      <c r="G34" s="46">
        <f>data!ON30</f>
        <v>0.3394663709887264</v>
      </c>
      <c r="H34" s="644">
        <f>data!OO42</f>
        <v>0.3744233001526292</v>
      </c>
      <c r="I34" s="644">
        <f>data!OP42</f>
        <v>0.35323036254772533</v>
      </c>
      <c r="J34" s="44" t="str">
        <f>data!OQ30</f>
        <v/>
      </c>
      <c r="K34" s="44" t="str">
        <f>data!OR30</f>
        <v/>
      </c>
      <c r="L34" s="128">
        <f>data!OS30</f>
        <v>0.86722700307745004</v>
      </c>
      <c r="M34" s="128">
        <f>data!OT30</f>
        <v>0.98150699877708925</v>
      </c>
      <c r="N34" s="81" t="str">
        <f>data!OU30</f>
        <v/>
      </c>
      <c r="O34" s="81" t="str">
        <f>data!OV30</f>
        <v/>
      </c>
      <c r="P34" s="559">
        <f>data!OW30</f>
        <v>5.550149091833813E-3</v>
      </c>
    </row>
    <row r="35" spans="1:21" ht="15.75" customHeight="1" thickBot="1">
      <c r="A35" s="107">
        <f>data!$NA$31</f>
        <v>13</v>
      </c>
      <c r="B35" s="108">
        <f>data!$NB$31</f>
        <v>1</v>
      </c>
      <c r="C35" s="3">
        <f>data!OJ31</f>
        <v>0.10175864492611113</v>
      </c>
      <c r="D35" s="3">
        <f>data!OK31</f>
        <v>9.4754549493885801E-2</v>
      </c>
      <c r="E35" s="3" t="str">
        <f>data!OL31</f>
        <v/>
      </c>
      <c r="F35" s="3" t="str">
        <f>data!OM31</f>
        <v/>
      </c>
      <c r="G35" s="3">
        <f>data!ON31</f>
        <v>0.33712515640931379</v>
      </c>
      <c r="H35" s="644"/>
      <c r="I35" s="644"/>
      <c r="J35" s="3" t="str">
        <f>data!OQ31</f>
        <v/>
      </c>
      <c r="K35" s="3" t="str">
        <f>data!OR31</f>
        <v/>
      </c>
      <c r="L35" s="4">
        <f>data!OS31</f>
        <v>0.86727755983204524</v>
      </c>
      <c r="M35" s="4">
        <f>data!OT31</f>
        <v>0.98164452553350912</v>
      </c>
      <c r="N35" s="47" t="str">
        <f>data!OU31</f>
        <v/>
      </c>
      <c r="O35" s="47" t="str">
        <f>data!OV31</f>
        <v/>
      </c>
      <c r="P35" s="560">
        <f>data!OW31</f>
        <v>5.9533071899679881E-3</v>
      </c>
    </row>
    <row r="36" spans="1:21" ht="15.75" customHeight="1" thickBot="1">
      <c r="A36" s="107">
        <f>data!$NA$32</f>
        <v>13</v>
      </c>
      <c r="B36" s="108">
        <f>data!$NB$32</f>
        <v>2</v>
      </c>
      <c r="C36" s="3">
        <f>data!OJ32</f>
        <v>0.10161653173399843</v>
      </c>
      <c r="D36" s="3">
        <f>data!OK32</f>
        <v>9.4627421341925907E-2</v>
      </c>
      <c r="E36" s="3" t="str">
        <f>data!OL32</f>
        <v/>
      </c>
      <c r="F36" s="3" t="str">
        <f>data!OM32</f>
        <v/>
      </c>
      <c r="G36" s="3">
        <f>data!ON32</f>
        <v>0.33583832071205227</v>
      </c>
      <c r="H36" s="644"/>
      <c r="I36" s="644"/>
      <c r="J36" s="3" t="str">
        <f>data!OQ32</f>
        <v/>
      </c>
      <c r="K36" s="3" t="str">
        <f>data!OR32</f>
        <v/>
      </c>
      <c r="L36" s="4">
        <f>data!OS32</f>
        <v>0.86729594495072637</v>
      </c>
      <c r="M36" s="4">
        <f>data!OT32</f>
        <v>0.98164937450186096</v>
      </c>
      <c r="N36" s="47" t="str">
        <f>data!OU32</f>
        <v/>
      </c>
      <c r="O36" s="47" t="str">
        <f>data!OV32</f>
        <v/>
      </c>
      <c r="P36" s="560">
        <f>data!OW32</f>
        <v>5.7055087040682245E-3</v>
      </c>
      <c r="U36" s="10"/>
    </row>
    <row r="37" spans="1:21" ht="15.75" customHeight="1" thickBot="1">
      <c r="A37" s="107">
        <f>data!$NA$33</f>
        <v>9</v>
      </c>
      <c r="B37" s="108">
        <f>data!$NB$33</f>
        <v>0</v>
      </c>
      <c r="C37" s="3">
        <f>data!OJ33</f>
        <v>0.10410913296773715</v>
      </c>
      <c r="D37" s="3">
        <f>data!OK33</f>
        <v>9.7062973786723461E-2</v>
      </c>
      <c r="E37" s="3" t="str">
        <f>data!OL33</f>
        <v/>
      </c>
      <c r="F37" s="3" t="str">
        <f>data!OM33</f>
        <v/>
      </c>
      <c r="G37" s="3">
        <f>data!ON33</f>
        <v>0.33687414636803548</v>
      </c>
      <c r="H37" s="644"/>
      <c r="I37" s="644"/>
      <c r="J37" s="3" t="str">
        <f>data!OQ33</f>
        <v/>
      </c>
      <c r="K37" s="3" t="str">
        <f>data!OR33</f>
        <v/>
      </c>
      <c r="L37" s="4">
        <f>data!OS33</f>
        <v>0.86721146283321837</v>
      </c>
      <c r="M37" s="4">
        <f>data!OT33</f>
        <v>0.9815798313034575</v>
      </c>
      <c r="N37" s="47" t="str">
        <f>data!OU33</f>
        <v/>
      </c>
      <c r="O37" s="47" t="str">
        <f>data!OV33</f>
        <v/>
      </c>
      <c r="P37" s="560">
        <f>data!OW33</f>
        <v>5.6446522900966897E-3</v>
      </c>
    </row>
    <row r="38" spans="1:21" ht="15.75" customHeight="1" thickBot="1">
      <c r="A38" s="107">
        <f>data!$NA$34</f>
        <v>9</v>
      </c>
      <c r="B38" s="108">
        <f>data!$NB$34</f>
        <v>1</v>
      </c>
      <c r="C38" s="3">
        <f>data!OJ34</f>
        <v>0.10080134558623521</v>
      </c>
      <c r="D38" s="3">
        <f>data!OK34</f>
        <v>9.3960974525927859E-2</v>
      </c>
      <c r="E38" s="3" t="str">
        <f>data!OL34</f>
        <v/>
      </c>
      <c r="F38" s="3" t="str">
        <f>data!OM34</f>
        <v/>
      </c>
      <c r="G38" s="3">
        <f>data!ON34</f>
        <v>0.33240981969615691</v>
      </c>
      <c r="H38" s="644"/>
      <c r="I38" s="644"/>
      <c r="J38" s="3" t="str">
        <f>data!OQ34</f>
        <v/>
      </c>
      <c r="K38" s="3" t="str">
        <f>data!OR34</f>
        <v/>
      </c>
      <c r="L38" s="4">
        <f>data!OS34</f>
        <v>0.86718298681212147</v>
      </c>
      <c r="M38" s="4">
        <f>data!OT34</f>
        <v>0.98166747306630786</v>
      </c>
      <c r="N38" s="47" t="str">
        <f>data!OU34</f>
        <v/>
      </c>
      <c r="O38" s="47" t="str">
        <f>data!OV34</f>
        <v/>
      </c>
      <c r="P38" s="560">
        <f>data!OW34</f>
        <v>6.513850220515852E-3</v>
      </c>
    </row>
    <row r="39" spans="1:21" ht="15.75" customHeight="1" thickBot="1">
      <c r="A39" s="107">
        <f>data!$NA$35</f>
        <v>9</v>
      </c>
      <c r="B39" s="108">
        <f>data!$NB$35</f>
        <v>2</v>
      </c>
      <c r="C39" s="3">
        <f>data!OJ35</f>
        <v>0.1007162429254764</v>
      </c>
      <c r="D39" s="3">
        <f>data!OK35</f>
        <v>9.388503547865841E-2</v>
      </c>
      <c r="E39" s="3" t="str">
        <f>data!OL35</f>
        <v/>
      </c>
      <c r="F39" s="3" t="str">
        <f>data!OM35</f>
        <v/>
      </c>
      <c r="G39" s="3">
        <f>data!ON35</f>
        <v>0.33391167900621072</v>
      </c>
      <c r="H39" s="644"/>
      <c r="I39" s="644"/>
      <c r="J39" s="3" t="str">
        <f>data!OQ35</f>
        <v/>
      </c>
      <c r="K39" s="3" t="str">
        <f>data!OR35</f>
        <v/>
      </c>
      <c r="L39" s="4">
        <f>data!OS35</f>
        <v>0.86717987031842036</v>
      </c>
      <c r="M39" s="4">
        <f>data!OT35</f>
        <v>0.98164226791067055</v>
      </c>
      <c r="N39" s="47" t="str">
        <f>data!OU35</f>
        <v/>
      </c>
      <c r="O39" s="47" t="str">
        <f>data!OV35</f>
        <v/>
      </c>
      <c r="P39" s="560">
        <f>data!OW35</f>
        <v>5.8390716105766157E-3</v>
      </c>
    </row>
    <row r="40" spans="1:21" ht="15.75" customHeight="1" thickBot="1">
      <c r="A40" s="107">
        <f>data!$NA$36</f>
        <v>5</v>
      </c>
      <c r="B40" s="108">
        <f>data!$NB$36</f>
        <v>0</v>
      </c>
      <c r="C40" s="3">
        <f>data!OJ36</f>
        <v>0.10405383750404262</v>
      </c>
      <c r="D40" s="3">
        <f>data!OK36</f>
        <v>9.7026607281304439E-2</v>
      </c>
      <c r="E40" s="3" t="str">
        <f>data!OL36</f>
        <v/>
      </c>
      <c r="F40" s="3" t="str">
        <f>data!OM36</f>
        <v/>
      </c>
      <c r="G40" s="3">
        <f>data!ON36</f>
        <v>0.33496591676662452</v>
      </c>
      <c r="H40" s="644"/>
      <c r="I40" s="644"/>
      <c r="J40" s="3" t="str">
        <f>data!OQ36</f>
        <v/>
      </c>
      <c r="K40" s="3" t="str">
        <f>data!OR36</f>
        <v/>
      </c>
      <c r="L40" s="4">
        <f>data!OS36</f>
        <v>0.8671970792928152</v>
      </c>
      <c r="M40" s="4">
        <f>data!OT36</f>
        <v>0.98162397218490616</v>
      </c>
      <c r="N40" s="47" t="str">
        <f>data!OU36</f>
        <v/>
      </c>
      <c r="O40" s="47" t="str">
        <f>data!OV36</f>
        <v/>
      </c>
      <c r="P40" s="560">
        <f>data!OW36</f>
        <v>5.8125605432422069E-3</v>
      </c>
    </row>
    <row r="41" spans="1:21" ht="15.75" customHeight="1" thickBot="1">
      <c r="A41" s="107">
        <f>data!$NA$37</f>
        <v>5</v>
      </c>
      <c r="B41" s="108">
        <f>data!$NB$37</f>
        <v>1</v>
      </c>
      <c r="C41" s="3">
        <f>data!OJ37</f>
        <v>0.10075819677793672</v>
      </c>
      <c r="D41" s="3">
        <f>data!OK37</f>
        <v>9.3932023142857188E-2</v>
      </c>
      <c r="E41" s="3" t="str">
        <f>data!OL37</f>
        <v/>
      </c>
      <c r="F41" s="3" t="str">
        <f>data!OM37</f>
        <v/>
      </c>
      <c r="G41" s="3">
        <f>data!ON37</f>
        <v>0.33452386652704746</v>
      </c>
      <c r="H41" s="644"/>
      <c r="I41" s="644"/>
      <c r="J41" s="3" t="str">
        <f>data!OQ37</f>
        <v/>
      </c>
      <c r="K41" s="3" t="str">
        <f>data!OR37</f>
        <v/>
      </c>
      <c r="L41" s="4">
        <f>data!OS37</f>
        <v>0.86720022182537271</v>
      </c>
      <c r="M41" s="4">
        <f>data!OT37</f>
        <v>0.98168352070968246</v>
      </c>
      <c r="N41" s="47" t="str">
        <f>data!OU37</f>
        <v/>
      </c>
      <c r="O41" s="47" t="str">
        <f>data!OV37</f>
        <v/>
      </c>
      <c r="P41" s="560">
        <f>data!OW37</f>
        <v>6.1336083485457639E-3</v>
      </c>
    </row>
    <row r="42" spans="1:21" ht="15.75" customHeight="1" thickBot="1">
      <c r="A42" s="107">
        <f>data!$NA$38</f>
        <v>5</v>
      </c>
      <c r="B42" s="108">
        <f>data!$NB$38</f>
        <v>2</v>
      </c>
      <c r="C42" s="3">
        <f>data!OJ38</f>
        <v>0.10073810742804136</v>
      </c>
      <c r="D42" s="3">
        <f>data!OK38</f>
        <v>9.3920818080513738E-2</v>
      </c>
      <c r="E42" s="3" t="str">
        <f>data!OL38</f>
        <v/>
      </c>
      <c r="F42" s="3" t="str">
        <f>data!OM38</f>
        <v/>
      </c>
      <c r="G42" s="3">
        <f>data!ON38</f>
        <v>0.33259096708390229</v>
      </c>
      <c r="H42" s="644"/>
      <c r="I42" s="644"/>
      <c r="J42" s="3" t="str">
        <f>data!OQ38</f>
        <v/>
      </c>
      <c r="K42" s="3" t="str">
        <f>data!OR38</f>
        <v/>
      </c>
      <c r="L42" s="4">
        <f>data!OS38</f>
        <v>0.86717066427916922</v>
      </c>
      <c r="M42" s="4">
        <f>data!OT38</f>
        <v>0.98173409098084541</v>
      </c>
      <c r="N42" s="47" t="str">
        <f>data!OU38</f>
        <v/>
      </c>
      <c r="O42" s="47" t="str">
        <f>data!OV38</f>
        <v/>
      </c>
      <c r="P42" s="560">
        <f>data!OW38</f>
        <v>5.9388775314022811E-3</v>
      </c>
    </row>
    <row r="43" spans="1:21" ht="15.75" customHeight="1" thickBot="1">
      <c r="A43" s="107">
        <f>data!$NA$39</f>
        <v>1</v>
      </c>
      <c r="B43" s="108">
        <f>data!$NB$39</f>
        <v>0</v>
      </c>
      <c r="C43" s="3">
        <f>data!OJ39</f>
        <v>0.10421792466901925</v>
      </c>
      <c r="D43" s="3">
        <f>data!OK39</f>
        <v>9.7067848069135307E-2</v>
      </c>
      <c r="E43" s="3" t="str">
        <f>data!OL39</f>
        <v/>
      </c>
      <c r="F43" s="3" t="str">
        <f>data!OM39</f>
        <v/>
      </c>
      <c r="G43" s="3">
        <f>data!ON39</f>
        <v>0.33562215042665733</v>
      </c>
      <c r="H43" s="644"/>
      <c r="I43" s="644"/>
      <c r="J43" s="3" t="str">
        <f>data!OQ39</f>
        <v/>
      </c>
      <c r="K43" s="3" t="str">
        <f>data!OR39</f>
        <v/>
      </c>
      <c r="L43" s="4">
        <f>data!OS39</f>
        <v>0.86728636889307742</v>
      </c>
      <c r="M43" s="4">
        <f>data!OT39</f>
        <v>0.98150882671336592</v>
      </c>
      <c r="N43" s="47" t="str">
        <f>data!OU39</f>
        <v/>
      </c>
      <c r="O43" s="47" t="str">
        <f>data!OV39</f>
        <v/>
      </c>
      <c r="P43" s="560">
        <f>data!OW39</f>
        <v>5.6884307046590667E-3</v>
      </c>
    </row>
    <row r="44" spans="1:21" ht="15.75" customHeight="1" thickBot="1">
      <c r="A44" s="107">
        <f>data!$NA$40</f>
        <v>1</v>
      </c>
      <c r="B44" s="108">
        <f>data!$NB$40</f>
        <v>1</v>
      </c>
      <c r="C44" s="3">
        <f>data!OJ40</f>
        <v>0.10107806364858887</v>
      </c>
      <c r="D44" s="3">
        <f>data!OK40</f>
        <v>9.4159057849290267E-2</v>
      </c>
      <c r="E44" s="3" t="str">
        <f>data!OL40</f>
        <v/>
      </c>
      <c r="F44" s="3" t="str">
        <f>data!OM40</f>
        <v/>
      </c>
      <c r="G44" s="3">
        <f>data!ON40</f>
        <v>0.33050196889253092</v>
      </c>
      <c r="H44" s="644"/>
      <c r="I44" s="644"/>
      <c r="J44" s="3" t="str">
        <f>data!OQ40</f>
        <v/>
      </c>
      <c r="K44" s="3" t="str">
        <f>data!OR40</f>
        <v/>
      </c>
      <c r="L44" s="4">
        <f>data!OS40</f>
        <v>0.86723018193981072</v>
      </c>
      <c r="M44" s="4">
        <f>data!OT40</f>
        <v>0.9816218509160225</v>
      </c>
      <c r="N44" s="47" t="str">
        <f>data!OU40</f>
        <v/>
      </c>
      <c r="O44" s="47" t="str">
        <f>data!OV40</f>
        <v/>
      </c>
      <c r="P44" s="560">
        <f>data!OW40</f>
        <v>5.8985535760795425E-3</v>
      </c>
    </row>
    <row r="45" spans="1:21" ht="15.75" customHeight="1" thickBot="1">
      <c r="A45" s="114">
        <f>data!$NA$41</f>
        <v>1</v>
      </c>
      <c r="B45" s="463">
        <f>data!$NB$41</f>
        <v>2</v>
      </c>
      <c r="C45" s="31">
        <f>data!OJ41</f>
        <v>0.1011157254766161</v>
      </c>
      <c r="D45" s="31">
        <f>data!OK41</f>
        <v>9.4156103963498508E-2</v>
      </c>
      <c r="E45" s="31" t="str">
        <f>data!OL41</f>
        <v/>
      </c>
      <c r="F45" s="31" t="str">
        <f>data!OM41</f>
        <v/>
      </c>
      <c r="G45" s="31">
        <f>data!ON41</f>
        <v>0.33622033495571657</v>
      </c>
      <c r="H45" s="645"/>
      <c r="I45" s="645"/>
      <c r="J45" s="31" t="str">
        <f>data!OQ41</f>
        <v/>
      </c>
      <c r="K45" s="31" t="str">
        <f>data!OR41</f>
        <v/>
      </c>
      <c r="L45" s="495">
        <f>data!OS41</f>
        <v>0.86727902307683136</v>
      </c>
      <c r="M45" s="495">
        <f>data!OT41</f>
        <v>0.98162721466585601</v>
      </c>
      <c r="N45" s="496" t="str">
        <f>data!OU41</f>
        <v/>
      </c>
      <c r="O45" s="497" t="str">
        <f>data!OV41</f>
        <v/>
      </c>
      <c r="P45" s="561">
        <f>data!OW41</f>
        <v>5.778616144188781E-3</v>
      </c>
    </row>
    <row r="46" spans="1:21" ht="15.75" customHeight="1" thickTop="1" thickBot="1">
      <c r="A46" s="631" t="str">
        <f>data!$NB$42</f>
        <v>CMG 1 total</v>
      </c>
      <c r="B46" s="632"/>
      <c r="C46" s="471">
        <f>data!OJ42</f>
        <v>0.10214920467726897</v>
      </c>
      <c r="D46" s="471">
        <f>data!OK42</f>
        <v>9.5180422619444982E-2</v>
      </c>
      <c r="E46" s="471" t="str">
        <f>data!OL42</f>
        <v/>
      </c>
      <c r="F46" s="471" t="str">
        <f>data!OM42</f>
        <v/>
      </c>
      <c r="G46" s="472">
        <f>data!ON42</f>
        <v>0.33500011986978301</v>
      </c>
      <c r="H46" s="466">
        <f>data!OO42</f>
        <v>0.3744233001526292</v>
      </c>
      <c r="I46" s="466">
        <f>data!OP42</f>
        <v>0.35323036254772533</v>
      </c>
      <c r="J46" s="471" t="str">
        <f>data!OQ42</f>
        <v/>
      </c>
      <c r="K46" s="471" t="str">
        <f>data!OR42</f>
        <v/>
      </c>
      <c r="L46" s="498">
        <f>data!OS42</f>
        <v>0.867228242677206</v>
      </c>
      <c r="M46" s="498">
        <f>data!OT42</f>
        <v>0.98162342532619817</v>
      </c>
      <c r="N46" s="499" t="str">
        <f>data!OU42</f>
        <v/>
      </c>
      <c r="O46" s="499" t="str">
        <f>data!OV42</f>
        <v/>
      </c>
      <c r="P46" s="487">
        <f>data!OW42</f>
        <v>5.8716998093004437E-3</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13</v>
      </c>
      <c r="B55" s="106">
        <f>data!$NB$30</f>
        <v>0</v>
      </c>
      <c r="C55" s="550" t="str">
        <f>data!OX30</f>
        <v/>
      </c>
      <c r="D55" s="5">
        <f>data!OY30</f>
        <v>14142417</v>
      </c>
      <c r="E55" s="5">
        <f>data!OZ30</f>
        <v>2274898</v>
      </c>
      <c r="F55" s="11">
        <f>data!PA30</f>
        <v>0.16085637978289002</v>
      </c>
      <c r="G55" s="4">
        <f>data!PB30</f>
        <v>0.30765159580781204</v>
      </c>
      <c r="H55" s="452" t="str">
        <f>data!PC30</f>
        <v/>
      </c>
      <c r="I55" s="452" t="str">
        <f>data!PD30</f>
        <v/>
      </c>
      <c r="J55" s="5">
        <f>data!PE30</f>
        <v>1583374</v>
      </c>
      <c r="K55" s="11">
        <f>data!PF30</f>
        <v>0.11195922168042421</v>
      </c>
      <c r="L55" s="4">
        <f>data!PG30</f>
        <v>7.1690579736688867E-2</v>
      </c>
      <c r="M55" s="452" t="str">
        <f>data!PH30</f>
        <v/>
      </c>
      <c r="N55" s="452" t="str">
        <f>data!PI30</f>
        <v/>
      </c>
      <c r="O55" s="553" t="str">
        <f>data!PJ30</f>
        <v/>
      </c>
      <c r="P55" s="554" t="str">
        <f>data!PK30</f>
        <v/>
      </c>
    </row>
    <row r="56" spans="1:21" ht="15.75" customHeight="1">
      <c r="A56" s="109">
        <f>data!$NA$31</f>
        <v>13</v>
      </c>
      <c r="B56" s="110">
        <f>data!$NB$31</f>
        <v>1</v>
      </c>
      <c r="C56" s="550" t="str">
        <f>data!OX31</f>
        <v/>
      </c>
      <c r="D56" s="5">
        <f>data!OY31</f>
        <v>14929334</v>
      </c>
      <c r="E56" s="5">
        <f>data!OZ31</f>
        <v>2213740</v>
      </c>
      <c r="F56" s="11">
        <f>data!PA31</f>
        <v>0.14828122942389793</v>
      </c>
      <c r="G56" s="4">
        <f>data!PB31</f>
        <v>0.30670223242115152</v>
      </c>
      <c r="H56" s="452" t="str">
        <f>data!PC31</f>
        <v/>
      </c>
      <c r="I56" s="452" t="str">
        <f>data!PD31</f>
        <v/>
      </c>
      <c r="J56" s="5">
        <f>data!PE31</f>
        <v>1539058</v>
      </c>
      <c r="K56" s="11">
        <f>data!PF31</f>
        <v>0.1030895283071569</v>
      </c>
      <c r="L56" s="4">
        <f>data!PG31</f>
        <v>6.9484061029538843E-2</v>
      </c>
      <c r="M56" s="452" t="str">
        <f>data!PH31</f>
        <v/>
      </c>
      <c r="N56" s="452" t="str">
        <f>data!PI31</f>
        <v/>
      </c>
      <c r="O56" s="553" t="str">
        <f>data!PJ31</f>
        <v/>
      </c>
      <c r="P56" s="554" t="str">
        <f>data!PK31</f>
        <v/>
      </c>
    </row>
    <row r="57" spans="1:21" ht="15.75" customHeight="1">
      <c r="A57" s="109">
        <f>data!$NA$32</f>
        <v>13</v>
      </c>
      <c r="B57" s="110">
        <f>data!$NB$32</f>
        <v>2</v>
      </c>
      <c r="C57" s="550" t="str">
        <f>data!OX32</f>
        <v/>
      </c>
      <c r="D57" s="5">
        <f>data!OY32</f>
        <v>14785957</v>
      </c>
      <c r="E57" s="5">
        <f>data!OZ32</f>
        <v>2202642</v>
      </c>
      <c r="F57" s="11">
        <f>data!PA32</f>
        <v>0.14896851113526166</v>
      </c>
      <c r="G57" s="4">
        <f>data!PB32</f>
        <v>0.30499509225738908</v>
      </c>
      <c r="H57" s="452" t="str">
        <f>data!PC32</f>
        <v/>
      </c>
      <c r="I57" s="452" t="str">
        <f>data!PD32</f>
        <v/>
      </c>
      <c r="J57" s="5">
        <f>data!PE32</f>
        <v>1539575</v>
      </c>
      <c r="K57" s="11">
        <f>data!PF32</f>
        <v>0.10412413616514643</v>
      </c>
      <c r="L57" s="4">
        <f>data!PG32</f>
        <v>7.6349641946641122E-2</v>
      </c>
      <c r="M57" s="452" t="str">
        <f>data!PH32</f>
        <v/>
      </c>
      <c r="N57" s="452" t="str">
        <f>data!PI32</f>
        <v/>
      </c>
      <c r="O57" s="553" t="str">
        <f>data!PJ32</f>
        <v/>
      </c>
      <c r="P57" s="554" t="str">
        <f>data!PK32</f>
        <v/>
      </c>
    </row>
    <row r="58" spans="1:21" ht="15.75" customHeight="1">
      <c r="A58" s="109">
        <f>data!$NA$33</f>
        <v>9</v>
      </c>
      <c r="B58" s="110">
        <f>data!$NB$33</f>
        <v>0</v>
      </c>
      <c r="C58" s="550" t="str">
        <f>data!OX33</f>
        <v/>
      </c>
      <c r="D58" s="5">
        <f>data!OY33</f>
        <v>14282612</v>
      </c>
      <c r="E58" s="5">
        <f>data!OZ33</f>
        <v>2324494</v>
      </c>
      <c r="F58" s="11">
        <f>data!PA33</f>
        <v>0.16274992277322944</v>
      </c>
      <c r="G58" s="4">
        <f>data!PB33</f>
        <v>0.31912321563316576</v>
      </c>
      <c r="H58" s="452" t="str">
        <f>data!PC33</f>
        <v/>
      </c>
      <c r="I58" s="452" t="str">
        <f>data!PD33</f>
        <v/>
      </c>
      <c r="J58" s="5">
        <f>data!PE33</f>
        <v>1581277</v>
      </c>
      <c r="K58" s="11">
        <f>data!PF33</f>
        <v>0.110713432529008</v>
      </c>
      <c r="L58" s="4">
        <f>data!PG33</f>
        <v>6.8088007351020732E-2</v>
      </c>
      <c r="M58" s="452" t="str">
        <f>data!PH33</f>
        <v/>
      </c>
      <c r="N58" s="452" t="str">
        <f>data!PI33</f>
        <v/>
      </c>
      <c r="O58" s="553" t="str">
        <f>data!PJ33</f>
        <v/>
      </c>
      <c r="P58" s="554" t="str">
        <f>data!PK33</f>
        <v/>
      </c>
    </row>
    <row r="59" spans="1:21" ht="15.75" customHeight="1">
      <c r="A59" s="109">
        <f>data!$NA$34</f>
        <v>9</v>
      </c>
      <c r="B59" s="110">
        <f>data!$NB$34</f>
        <v>1</v>
      </c>
      <c r="C59" s="550" t="str">
        <f>data!OX34</f>
        <v/>
      </c>
      <c r="D59" s="5">
        <f>data!OY34</f>
        <v>14714116</v>
      </c>
      <c r="E59" s="5">
        <f>data!OZ34</f>
        <v>2256749</v>
      </c>
      <c r="F59" s="11">
        <f>data!PA34</f>
        <v>0.15337306026403488</v>
      </c>
      <c r="G59" s="4">
        <f>data!PB34</f>
        <v>0.31743007308300569</v>
      </c>
      <c r="H59" s="452" t="str">
        <f>data!PC34</f>
        <v/>
      </c>
      <c r="I59" s="452" t="str">
        <f>data!PD34</f>
        <v/>
      </c>
      <c r="J59" s="5">
        <f>data!PE34</f>
        <v>1540659</v>
      </c>
      <c r="K59" s="11">
        <f>data!PF34</f>
        <v>0.10470618826166656</v>
      </c>
      <c r="L59" s="4">
        <f>data!PG34</f>
        <v>7.1044922984255438E-2</v>
      </c>
      <c r="M59" s="452" t="str">
        <f>data!PH34</f>
        <v/>
      </c>
      <c r="N59" s="452" t="str">
        <f>data!PI34</f>
        <v/>
      </c>
      <c r="O59" s="553" t="str">
        <f>data!PJ34</f>
        <v/>
      </c>
      <c r="P59" s="554" t="str">
        <f>data!PK34</f>
        <v/>
      </c>
      <c r="U59" s="9"/>
    </row>
    <row r="60" spans="1:21" ht="15.75" customHeight="1">
      <c r="A60" s="109">
        <f>data!$NA$35</f>
        <v>9</v>
      </c>
      <c r="B60" s="110">
        <f>data!$NB$35</f>
        <v>2</v>
      </c>
      <c r="C60" s="550" t="str">
        <f>data!OX35</f>
        <v/>
      </c>
      <c r="D60" s="5">
        <f>data!OY35</f>
        <v>14696976</v>
      </c>
      <c r="E60" s="5">
        <f>data!OZ35</f>
        <v>2268279</v>
      </c>
      <c r="F60" s="11">
        <f>data!PA35</f>
        <v>0.1543364430887007</v>
      </c>
      <c r="G60" s="4">
        <f>data!PB35</f>
        <v>0.32066998812756281</v>
      </c>
      <c r="H60" s="452" t="str">
        <f>data!PC35</f>
        <v/>
      </c>
      <c r="I60" s="452" t="str">
        <f>data!PD35</f>
        <v/>
      </c>
      <c r="J60" s="5">
        <f>data!PE35</f>
        <v>1542819</v>
      </c>
      <c r="K60" s="11">
        <f>data!PF35</f>
        <v>0.10497526838174057</v>
      </c>
      <c r="L60" s="4">
        <f>data!PG35</f>
        <v>7.1191111854339365E-2</v>
      </c>
      <c r="M60" s="452" t="str">
        <f>data!PH35</f>
        <v/>
      </c>
      <c r="N60" s="452" t="str">
        <f>data!PI35</f>
        <v/>
      </c>
      <c r="O60" s="553" t="str">
        <f>data!PJ35</f>
        <v/>
      </c>
      <c r="P60" s="554" t="str">
        <f>data!PK35</f>
        <v/>
      </c>
    </row>
    <row r="61" spans="1:21" ht="15.75" customHeight="1">
      <c r="A61" s="109">
        <f>data!$NA$36</f>
        <v>5</v>
      </c>
      <c r="B61" s="110">
        <f>data!$NB$36</f>
        <v>0</v>
      </c>
      <c r="C61" s="550" t="str">
        <f>data!OX36</f>
        <v/>
      </c>
      <c r="D61" s="5">
        <f>data!OY36</f>
        <v>14259873</v>
      </c>
      <c r="E61" s="5">
        <f>data!OZ36</f>
        <v>2316918</v>
      </c>
      <c r="F61" s="11">
        <f>data!PA36</f>
        <v>0.16247816512811861</v>
      </c>
      <c r="G61" s="4">
        <f>data!PB36</f>
        <v>0.31796032487986198</v>
      </c>
      <c r="H61" s="452" t="str">
        <f>data!PC36</f>
        <v/>
      </c>
      <c r="I61" s="452" t="str">
        <f>data!PD36</f>
        <v/>
      </c>
      <c r="J61" s="5">
        <f>data!PE36</f>
        <v>1575677</v>
      </c>
      <c r="K61" s="11">
        <f>data!PF36</f>
        <v>0.11049726740203086</v>
      </c>
      <c r="L61" s="4">
        <f>data!PG36</f>
        <v>7.4800228727080489E-2</v>
      </c>
      <c r="M61" s="452" t="str">
        <f>data!PH36</f>
        <v/>
      </c>
      <c r="N61" s="452" t="str">
        <f>data!PI36</f>
        <v/>
      </c>
      <c r="O61" s="553" t="str">
        <f>data!PJ36</f>
        <v/>
      </c>
      <c r="P61" s="554" t="str">
        <f>data!PK36</f>
        <v/>
      </c>
    </row>
    <row r="62" spans="1:21" ht="15.75" customHeight="1">
      <c r="A62" s="109">
        <f>data!$NA$37</f>
        <v>5</v>
      </c>
      <c r="B62" s="110">
        <f>data!$NB$37</f>
        <v>1</v>
      </c>
      <c r="C62" s="550" t="str">
        <f>data!OX37</f>
        <v/>
      </c>
      <c r="D62" s="5">
        <f>data!OY37</f>
        <v>14675256</v>
      </c>
      <c r="E62" s="5">
        <f>data!OZ37</f>
        <v>2252290</v>
      </c>
      <c r="F62" s="11">
        <f>data!PA37</f>
        <v>0.15347534652887826</v>
      </c>
      <c r="G62" s="4">
        <f>data!PB37</f>
        <v>0.31664528102509004</v>
      </c>
      <c r="H62" s="452" t="str">
        <f>data!PC37</f>
        <v/>
      </c>
      <c r="I62" s="452" t="str">
        <f>data!PD37</f>
        <v/>
      </c>
      <c r="J62" s="5">
        <f>data!PE37</f>
        <v>1528468</v>
      </c>
      <c r="K62" s="11">
        <f>data!PF37</f>
        <v>0.10415273164570349</v>
      </c>
      <c r="L62" s="4">
        <f>data!PG37</f>
        <v>7.5590722213353501E-2</v>
      </c>
      <c r="M62" s="452" t="str">
        <f>data!PH37</f>
        <v/>
      </c>
      <c r="N62" s="452" t="str">
        <f>data!PI37</f>
        <v/>
      </c>
      <c r="O62" s="553" t="str">
        <f>data!PJ37</f>
        <v/>
      </c>
      <c r="P62" s="554" t="str">
        <f>data!PK37</f>
        <v/>
      </c>
    </row>
    <row r="63" spans="1:21" ht="15.75" customHeight="1">
      <c r="A63" s="109">
        <f>data!$NA$38</f>
        <v>5</v>
      </c>
      <c r="B63" s="110">
        <f>data!$NB$38</f>
        <v>2</v>
      </c>
      <c r="C63" s="550" t="str">
        <f>data!OX38</f>
        <v/>
      </c>
      <c r="D63" s="5">
        <f>data!OY38</f>
        <v>14603607</v>
      </c>
      <c r="E63" s="5">
        <f>data!OZ38</f>
        <v>2260667</v>
      </c>
      <c r="F63" s="11">
        <f>data!PA38</f>
        <v>0.15480196091280737</v>
      </c>
      <c r="G63" s="4">
        <f>data!PB38</f>
        <v>0.31937122981845623</v>
      </c>
      <c r="H63" s="452" t="str">
        <f>data!PC38</f>
        <v/>
      </c>
      <c r="I63" s="452" t="str">
        <f>data!PD38</f>
        <v/>
      </c>
      <c r="J63" s="5">
        <f>data!PE38</f>
        <v>1534413</v>
      </c>
      <c r="K63" s="11">
        <f>data!PF38</f>
        <v>0.10507082257143732</v>
      </c>
      <c r="L63" s="4">
        <f>data!PG38</f>
        <v>7.2079681285286301E-2</v>
      </c>
      <c r="M63" s="452" t="str">
        <f>data!PH38</f>
        <v/>
      </c>
      <c r="N63" s="452" t="str">
        <f>data!PI38</f>
        <v/>
      </c>
      <c r="O63" s="553" t="str">
        <f>data!PJ38</f>
        <v/>
      </c>
      <c r="P63" s="554" t="str">
        <f>data!PK38</f>
        <v/>
      </c>
    </row>
    <row r="64" spans="1:21" ht="15.75" customHeight="1">
      <c r="A64" s="109">
        <f>data!$NA$39</f>
        <v>1</v>
      </c>
      <c r="B64" s="110">
        <f>data!$NB$39</f>
        <v>0</v>
      </c>
      <c r="C64" s="550" t="str">
        <f>data!OX39</f>
        <v/>
      </c>
      <c r="D64" s="5">
        <f>data!OY39</f>
        <v>14164803</v>
      </c>
      <c r="E64" s="5">
        <f>data!OZ39</f>
        <v>2267543</v>
      </c>
      <c r="F64" s="11">
        <f>data!PA39</f>
        <v>0.16008291820225104</v>
      </c>
      <c r="G64" s="4">
        <f>data!PB39</f>
        <v>0.30808632956464332</v>
      </c>
      <c r="H64" s="452" t="str">
        <f>data!PC39</f>
        <v/>
      </c>
      <c r="I64" s="452" t="str">
        <f>data!PD39</f>
        <v/>
      </c>
      <c r="J64" s="5">
        <f>data!PE39</f>
        <v>1579182</v>
      </c>
      <c r="K64" s="11">
        <f>data!PF39</f>
        <v>0.11148633694376124</v>
      </c>
      <c r="L64" s="4">
        <f>data!PG39</f>
        <v>7.5268081829706776E-2</v>
      </c>
      <c r="M64" s="452" t="str">
        <f>data!PH39</f>
        <v/>
      </c>
      <c r="N64" s="452" t="str">
        <f>data!PI39</f>
        <v/>
      </c>
      <c r="O64" s="553" t="str">
        <f>data!PJ39</f>
        <v/>
      </c>
      <c r="P64" s="554" t="str">
        <f>data!PK39</f>
        <v/>
      </c>
    </row>
    <row r="65" spans="1:37" ht="15.75" customHeight="1">
      <c r="A65" s="109">
        <f>data!$NA$40</f>
        <v>1</v>
      </c>
      <c r="B65" s="110">
        <f>data!$NB$40</f>
        <v>1</v>
      </c>
      <c r="C65" s="550" t="str">
        <f>data!OX40</f>
        <v/>
      </c>
      <c r="D65" s="5">
        <f>data!OY40</f>
        <v>14761416</v>
      </c>
      <c r="E65" s="5">
        <f>data!OZ40</f>
        <v>2198916</v>
      </c>
      <c r="F65" s="11">
        <f>data!PA40</f>
        <v>0.14896375794842445</v>
      </c>
      <c r="G65" s="4">
        <f>data!PB40</f>
        <v>0.30512034111353048</v>
      </c>
      <c r="H65" s="452" t="str">
        <f>data!PC40</f>
        <v/>
      </c>
      <c r="I65" s="452" t="str">
        <f>data!PD40</f>
        <v/>
      </c>
      <c r="J65" s="5">
        <f>data!PE40</f>
        <v>1543708</v>
      </c>
      <c r="K65" s="11">
        <f>data!PF40</f>
        <v>0.10457723026029481</v>
      </c>
      <c r="L65" s="4">
        <f>data!PG40</f>
        <v>7.4870377040217456E-2</v>
      </c>
      <c r="M65" s="452" t="str">
        <f>data!PH40</f>
        <v/>
      </c>
      <c r="N65" s="452" t="str">
        <f>data!PI40</f>
        <v/>
      </c>
      <c r="O65" s="553" t="str">
        <f>data!PJ40</f>
        <v/>
      </c>
      <c r="P65" s="554" t="str">
        <f>data!PK40</f>
        <v/>
      </c>
    </row>
    <row r="66" spans="1:37" ht="15.75" customHeight="1" thickBot="1">
      <c r="A66" s="114">
        <f>data!$NA$41</f>
        <v>1</v>
      </c>
      <c r="B66" s="463">
        <f>data!$NB$41</f>
        <v>2</v>
      </c>
      <c r="C66" s="551" t="str">
        <f>data!OX41</f>
        <v/>
      </c>
      <c r="D66" s="33">
        <f>data!OY41</f>
        <v>14656224</v>
      </c>
      <c r="E66" s="33">
        <f>data!OZ41</f>
        <v>2198398</v>
      </c>
      <c r="F66" s="116">
        <f>data!PA41</f>
        <v>0.14999757099782318</v>
      </c>
      <c r="G66" s="32">
        <f>data!PB41</f>
        <v>0.30550473572119335</v>
      </c>
      <c r="H66" s="453" t="str">
        <f>data!PC41</f>
        <v/>
      </c>
      <c r="I66" s="453" t="str">
        <f>data!PD41</f>
        <v/>
      </c>
      <c r="J66" s="33">
        <f>data!PE41</f>
        <v>1539972</v>
      </c>
      <c r="K66" s="116">
        <f>data!PF41</f>
        <v>0.10507290281589583</v>
      </c>
      <c r="L66" s="32">
        <f>data!PG41</f>
        <v>7.4833178785068816E-2</v>
      </c>
      <c r="M66" s="453" t="str">
        <f>data!PH41</f>
        <v/>
      </c>
      <c r="N66" s="453" t="str">
        <f>data!PI41</f>
        <v/>
      </c>
      <c r="O66" s="555" t="str">
        <f>data!PJ41</f>
        <v/>
      </c>
      <c r="P66" s="556" t="str">
        <f>data!PK41</f>
        <v/>
      </c>
    </row>
    <row r="67" spans="1:37" ht="15.75" customHeight="1" thickTop="1" thickBot="1">
      <c r="A67" s="631" t="str">
        <f>data!$NB$42</f>
        <v>CMG 1 total</v>
      </c>
      <c r="B67" s="632"/>
      <c r="C67" s="552" t="str">
        <f>data!OX42</f>
        <v/>
      </c>
      <c r="D67" s="467">
        <f>data!OY42</f>
        <v>174672591</v>
      </c>
      <c r="E67" s="467">
        <f>data!OZ42</f>
        <v>27035534</v>
      </c>
      <c r="F67" s="465">
        <f>data!PA42</f>
        <v>0.15477834184070699</v>
      </c>
      <c r="G67" s="466">
        <f>data!PB42</f>
        <v>0.31252092153977801</v>
      </c>
      <c r="H67" s="476" t="str">
        <f>data!PC42</f>
        <v/>
      </c>
      <c r="I67" s="476" t="str">
        <f>data!PD42</f>
        <v/>
      </c>
      <c r="J67" s="467">
        <f>data!PE42</f>
        <v>18628182</v>
      </c>
      <c r="K67" s="465">
        <f>data!PF42</f>
        <v>0.10664627972456193</v>
      </c>
      <c r="L67" s="466">
        <f>data!PG42</f>
        <v>7.2934438798160764E-2</v>
      </c>
      <c r="M67" s="476" t="str">
        <f>data!PH42</f>
        <v/>
      </c>
      <c r="N67" s="476" t="str">
        <f>data!PI42</f>
        <v/>
      </c>
      <c r="O67" s="557" t="str">
        <f>data!PJ42</f>
        <v/>
      </c>
      <c r="P67" s="558" t="str">
        <f>data!PK42</f>
        <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SIMD load instruction except gather load</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SIMD store instruction except scatter store</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13</v>
      </c>
      <c r="B77" s="106">
        <f>data!$NB$30</f>
        <v>0</v>
      </c>
      <c r="C77" s="442">
        <f>data!PL30</f>
        <v>6900656</v>
      </c>
      <c r="D77" s="443" t="str">
        <f>data!PM30</f>
        <v/>
      </c>
      <c r="E77" s="443">
        <f>data!PN30</f>
        <v>0</v>
      </c>
      <c r="F77" s="443" t="str">
        <f>data!PO30</f>
        <v/>
      </c>
      <c r="G77" s="443" t="str">
        <f>data!PP30</f>
        <v/>
      </c>
      <c r="H77" s="443" t="str">
        <f>data!PQ30</f>
        <v/>
      </c>
      <c r="I77" s="443" t="str">
        <f>data!PR30</f>
        <v/>
      </c>
      <c r="J77" s="443">
        <f>data!PS30</f>
        <v>4870864</v>
      </c>
      <c r="K77" s="443">
        <f>data!PT30</f>
        <v>1946165</v>
      </c>
      <c r="L77" s="443" t="str">
        <f>data!PU30</f>
        <v/>
      </c>
      <c r="M77" s="443">
        <f>data!PV30</f>
        <v>0</v>
      </c>
      <c r="N77" s="443" t="str">
        <f>data!PW30</f>
        <v/>
      </c>
      <c r="O77" s="443" t="str">
        <f>data!PX30</f>
        <v/>
      </c>
      <c r="P77" s="443">
        <f>data!PY30</f>
        <v>424732</v>
      </c>
      <c r="Q77" s="443" t="str">
        <f>data!PZ30</f>
        <v/>
      </c>
      <c r="R77" s="443" t="str">
        <f>data!QA30</f>
        <v/>
      </c>
      <c r="S77" s="443" t="str">
        <f>data!QB30</f>
        <v/>
      </c>
      <c r="T77" s="443" t="str">
        <f>data!QC30</f>
        <v/>
      </c>
      <c r="U77" s="443">
        <f>data!QD30</f>
        <v>14995203</v>
      </c>
      <c r="V77" s="443">
        <f>data!QE30</f>
        <v>10014928</v>
      </c>
      <c r="W77" s="443">
        <f>data!QF30</f>
        <v>796268</v>
      </c>
      <c r="X77" s="443" t="str">
        <f>data!QG30</f>
        <v/>
      </c>
      <c r="Y77" s="443" t="str">
        <f>data!QH30</f>
        <v/>
      </c>
      <c r="Z77" s="443" t="str">
        <f>data!QI30</f>
        <v/>
      </c>
      <c r="AA77" s="443" t="str">
        <f>data!QJ30</f>
        <v/>
      </c>
      <c r="AB77" s="443" t="str">
        <f>data!QK30</f>
        <v/>
      </c>
      <c r="AC77" s="443" t="str">
        <f>data!QL30</f>
        <v/>
      </c>
      <c r="AD77" s="443">
        <f>data!QM30</f>
        <v>38452551</v>
      </c>
      <c r="AE77" s="444">
        <f>data!QN30</f>
        <v>78401367</v>
      </c>
      <c r="AG77" s="105">
        <f>data!$NA$30</f>
        <v>13</v>
      </c>
      <c r="AH77" s="106">
        <f>data!$NB$30</f>
        <v>0</v>
      </c>
      <c r="AI77" s="36" t="str">
        <f>data!RR30</f>
        <v/>
      </c>
      <c r="AJ77" s="717" t="str">
        <f>data!RS42</f>
        <v/>
      </c>
      <c r="AK77" s="729" t="str">
        <f>data!RT42</f>
        <v/>
      </c>
    </row>
    <row r="78" spans="1:37" ht="15.75" customHeight="1">
      <c r="A78" s="109">
        <f>data!$NA$31</f>
        <v>13</v>
      </c>
      <c r="B78" s="110">
        <f>data!$NB$31</f>
        <v>1</v>
      </c>
      <c r="C78" s="445">
        <f>data!PL31</f>
        <v>6689159</v>
      </c>
      <c r="D78" s="446" t="str">
        <f>data!PM31</f>
        <v/>
      </c>
      <c r="E78" s="446">
        <f>data!PN31</f>
        <v>0</v>
      </c>
      <c r="F78" s="446" t="str">
        <f>data!PO31</f>
        <v/>
      </c>
      <c r="G78" s="446" t="str">
        <f>data!PP31</f>
        <v/>
      </c>
      <c r="H78" s="446" t="str">
        <f>data!PQ31</f>
        <v/>
      </c>
      <c r="I78" s="446" t="str">
        <f>data!PR31</f>
        <v/>
      </c>
      <c r="J78" s="446">
        <f>data!PS31</f>
        <v>5848140</v>
      </c>
      <c r="K78" s="446">
        <f>data!PT31</f>
        <v>1886489</v>
      </c>
      <c r="L78" s="446" t="str">
        <f>data!PU31</f>
        <v/>
      </c>
      <c r="M78" s="446">
        <f>data!PV31</f>
        <v>0</v>
      </c>
      <c r="N78" s="446" t="str">
        <f>data!PW31</f>
        <v/>
      </c>
      <c r="O78" s="446" t="str">
        <f>data!PX31</f>
        <v/>
      </c>
      <c r="P78" s="446">
        <f>data!PY31</f>
        <v>505546</v>
      </c>
      <c r="Q78" s="446" t="str">
        <f>data!PZ31</f>
        <v/>
      </c>
      <c r="R78" s="446" t="str">
        <f>data!QA31</f>
        <v/>
      </c>
      <c r="S78" s="446" t="str">
        <f>data!QB31</f>
        <v/>
      </c>
      <c r="T78" s="446" t="str">
        <f>data!QC31</f>
        <v/>
      </c>
      <c r="U78" s="446">
        <f>data!QD31</f>
        <v>14530691</v>
      </c>
      <c r="V78" s="446">
        <f>data!QE31</f>
        <v>9704856</v>
      </c>
      <c r="W78" s="446">
        <f>data!QF31</f>
        <v>771402</v>
      </c>
      <c r="X78" s="446" t="str">
        <f>data!QG31</f>
        <v/>
      </c>
      <c r="Y78" s="446" t="str">
        <f>data!QH31</f>
        <v/>
      </c>
      <c r="Z78" s="446" t="str">
        <f>data!QI31</f>
        <v/>
      </c>
      <c r="AA78" s="446" t="str">
        <f>data!QJ31</f>
        <v/>
      </c>
      <c r="AB78" s="446" t="str">
        <f>data!QK31</f>
        <v/>
      </c>
      <c r="AC78" s="446" t="str">
        <f>data!QL31</f>
        <v/>
      </c>
      <c r="AD78" s="446">
        <f>data!QM31</f>
        <v>40139302</v>
      </c>
      <c r="AE78" s="447">
        <f>data!QN31</f>
        <v>80075585</v>
      </c>
      <c r="AG78" s="109">
        <f>data!$NA$31</f>
        <v>13</v>
      </c>
      <c r="AH78" s="110">
        <f>data!$NB$31</f>
        <v>1</v>
      </c>
      <c r="AI78" s="37" t="str">
        <f>data!RR31</f>
        <v/>
      </c>
      <c r="AJ78" s="718"/>
      <c r="AK78" s="730"/>
    </row>
    <row r="79" spans="1:37" ht="15.75" customHeight="1">
      <c r="A79" s="109">
        <f>data!$NA$32</f>
        <v>13</v>
      </c>
      <c r="B79" s="110">
        <f>data!$NB$32</f>
        <v>2</v>
      </c>
      <c r="C79" s="445">
        <f>data!PL32</f>
        <v>6689159</v>
      </c>
      <c r="D79" s="446" t="str">
        <f>data!PM32</f>
        <v/>
      </c>
      <c r="E79" s="446">
        <f>data!PN32</f>
        <v>0</v>
      </c>
      <c r="F79" s="446" t="str">
        <f>data!PO32</f>
        <v/>
      </c>
      <c r="G79" s="446" t="str">
        <f>data!PP32</f>
        <v/>
      </c>
      <c r="H79" s="446" t="str">
        <f>data!PQ32</f>
        <v/>
      </c>
      <c r="I79" s="446" t="str">
        <f>data!PR32</f>
        <v/>
      </c>
      <c r="J79" s="446">
        <f>data!PS32</f>
        <v>5674150</v>
      </c>
      <c r="K79" s="446">
        <f>data!PT32</f>
        <v>1886489</v>
      </c>
      <c r="L79" s="446" t="str">
        <f>data!PU32</f>
        <v/>
      </c>
      <c r="M79" s="446">
        <f>data!PV32</f>
        <v>0</v>
      </c>
      <c r="N79" s="446" t="str">
        <f>data!PW32</f>
        <v/>
      </c>
      <c r="O79" s="446" t="str">
        <f>data!PX32</f>
        <v/>
      </c>
      <c r="P79" s="446">
        <f>data!PY32</f>
        <v>536159</v>
      </c>
      <c r="Q79" s="446" t="str">
        <f>data!PZ32</f>
        <v/>
      </c>
      <c r="R79" s="446" t="str">
        <f>data!QA32</f>
        <v/>
      </c>
      <c r="S79" s="446" t="str">
        <f>data!QB32</f>
        <v/>
      </c>
      <c r="T79" s="446" t="str">
        <f>data!QC32</f>
        <v/>
      </c>
      <c r="U79" s="446">
        <f>data!QD32</f>
        <v>14530691</v>
      </c>
      <c r="V79" s="446">
        <f>data!QE32</f>
        <v>9704856</v>
      </c>
      <c r="W79" s="446">
        <f>data!QF32</f>
        <v>771402</v>
      </c>
      <c r="X79" s="446" t="str">
        <f>data!QG32</f>
        <v/>
      </c>
      <c r="Y79" s="446" t="str">
        <f>data!QH32</f>
        <v/>
      </c>
      <c r="Z79" s="446" t="str">
        <f>data!QI32</f>
        <v/>
      </c>
      <c r="AA79" s="446" t="str">
        <f>data!QJ32</f>
        <v/>
      </c>
      <c r="AB79" s="446" t="str">
        <f>data!QK32</f>
        <v/>
      </c>
      <c r="AC79" s="446" t="str">
        <f>data!QL32</f>
        <v/>
      </c>
      <c r="AD79" s="446">
        <f>data!QM32</f>
        <v>39871876</v>
      </c>
      <c r="AE79" s="447">
        <f>data!QN32</f>
        <v>79664782</v>
      </c>
      <c r="AG79" s="109">
        <f>data!$NA$32</f>
        <v>13</v>
      </c>
      <c r="AH79" s="110">
        <f>data!$NB$32</f>
        <v>2</v>
      </c>
      <c r="AI79" s="37" t="str">
        <f>data!RR32</f>
        <v/>
      </c>
      <c r="AJ79" s="718"/>
      <c r="AK79" s="730"/>
    </row>
    <row r="80" spans="1:37" ht="15.75" customHeight="1">
      <c r="A80" s="109">
        <f>data!$NA$33</f>
        <v>9</v>
      </c>
      <c r="B80" s="110">
        <f>data!$NB$33</f>
        <v>0</v>
      </c>
      <c r="C80" s="445">
        <f>data!PL33</f>
        <v>6900657</v>
      </c>
      <c r="D80" s="446" t="str">
        <f>data!PM33</f>
        <v/>
      </c>
      <c r="E80" s="446">
        <f>data!PN33</f>
        <v>0</v>
      </c>
      <c r="F80" s="446" t="str">
        <f>data!PO33</f>
        <v/>
      </c>
      <c r="G80" s="446" t="str">
        <f>data!PP33</f>
        <v/>
      </c>
      <c r="H80" s="446" t="str">
        <f>data!PQ33</f>
        <v/>
      </c>
      <c r="I80" s="446" t="str">
        <f>data!PR33</f>
        <v/>
      </c>
      <c r="J80" s="446">
        <f>data!PS33</f>
        <v>5029733</v>
      </c>
      <c r="K80" s="446">
        <f>data!PT33</f>
        <v>1946165</v>
      </c>
      <c r="L80" s="446" t="str">
        <f>data!PU33</f>
        <v/>
      </c>
      <c r="M80" s="446">
        <f>data!PV33</f>
        <v>0</v>
      </c>
      <c r="N80" s="446" t="str">
        <f>data!PW33</f>
        <v/>
      </c>
      <c r="O80" s="446" t="str">
        <f>data!PX33</f>
        <v/>
      </c>
      <c r="P80" s="446">
        <f>data!PY33</f>
        <v>406057</v>
      </c>
      <c r="Q80" s="446" t="str">
        <f>data!PZ33</f>
        <v/>
      </c>
      <c r="R80" s="446" t="str">
        <f>data!QA33</f>
        <v/>
      </c>
      <c r="S80" s="446" t="str">
        <f>data!QB33</f>
        <v/>
      </c>
      <c r="T80" s="446" t="str">
        <f>data!QC33</f>
        <v/>
      </c>
      <c r="U80" s="446">
        <f>data!QD33</f>
        <v>14995203</v>
      </c>
      <c r="V80" s="446">
        <f>data!QE33</f>
        <v>10014928</v>
      </c>
      <c r="W80" s="446">
        <f>data!QF33</f>
        <v>796268</v>
      </c>
      <c r="X80" s="446" t="str">
        <f>data!QG33</f>
        <v/>
      </c>
      <c r="Y80" s="446" t="str">
        <f>data!QH33</f>
        <v/>
      </c>
      <c r="Z80" s="446" t="str">
        <f>data!QI33</f>
        <v/>
      </c>
      <c r="AA80" s="446" t="str">
        <f>data!QJ33</f>
        <v/>
      </c>
      <c r="AB80" s="446" t="str">
        <f>data!QK33</f>
        <v/>
      </c>
      <c r="AC80" s="446" t="str">
        <f>data!QL33</f>
        <v/>
      </c>
      <c r="AD80" s="446">
        <f>data!QM33</f>
        <v>38860277</v>
      </c>
      <c r="AE80" s="447">
        <f>data!QN33</f>
        <v>78949288</v>
      </c>
      <c r="AG80" s="109">
        <f>data!$NA$33</f>
        <v>9</v>
      </c>
      <c r="AH80" s="110">
        <f>data!$NB$33</f>
        <v>0</v>
      </c>
      <c r="AI80" s="37" t="str">
        <f>data!RR33</f>
        <v/>
      </c>
      <c r="AJ80" s="718"/>
      <c r="AK80" s="730"/>
    </row>
    <row r="81" spans="1:55" ht="15.75" customHeight="1">
      <c r="A81" s="109">
        <f>data!$NA$34</f>
        <v>9</v>
      </c>
      <c r="B81" s="110">
        <f>data!$NB$34</f>
        <v>1</v>
      </c>
      <c r="C81" s="445">
        <f>data!PL34</f>
        <v>6689110</v>
      </c>
      <c r="D81" s="446" t="str">
        <f>data!PM34</f>
        <v/>
      </c>
      <c r="E81" s="446">
        <f>data!PN34</f>
        <v>0</v>
      </c>
      <c r="F81" s="446" t="str">
        <f>data!PO34</f>
        <v/>
      </c>
      <c r="G81" s="446" t="str">
        <f>data!PP34</f>
        <v/>
      </c>
      <c r="H81" s="446" t="str">
        <f>data!PQ34</f>
        <v/>
      </c>
      <c r="I81" s="446" t="str">
        <f>data!PR34</f>
        <v/>
      </c>
      <c r="J81" s="446">
        <f>data!PS34</f>
        <v>5633977</v>
      </c>
      <c r="K81" s="446">
        <f>data!PT34</f>
        <v>1886473</v>
      </c>
      <c r="L81" s="446" t="str">
        <f>data!PU34</f>
        <v/>
      </c>
      <c r="M81" s="446">
        <f>data!PV34</f>
        <v>0</v>
      </c>
      <c r="N81" s="446" t="str">
        <f>data!PW34</f>
        <v/>
      </c>
      <c r="O81" s="446" t="str">
        <f>data!PX34</f>
        <v/>
      </c>
      <c r="P81" s="446">
        <f>data!PY34</f>
        <v>504556</v>
      </c>
      <c r="Q81" s="446" t="str">
        <f>data!PZ34</f>
        <v/>
      </c>
      <c r="R81" s="446" t="str">
        <f>data!QA34</f>
        <v/>
      </c>
      <c r="S81" s="446" t="str">
        <f>data!QB34</f>
        <v/>
      </c>
      <c r="T81" s="446" t="str">
        <f>data!QC34</f>
        <v/>
      </c>
      <c r="U81" s="446">
        <f>data!QD34</f>
        <v>14530691</v>
      </c>
      <c r="V81" s="446">
        <f>data!QE34</f>
        <v>9704856</v>
      </c>
      <c r="W81" s="446">
        <f>data!QF34</f>
        <v>771402</v>
      </c>
      <c r="X81" s="446" t="str">
        <f>data!QG34</f>
        <v/>
      </c>
      <c r="Y81" s="446" t="str">
        <f>data!QH34</f>
        <v/>
      </c>
      <c r="Z81" s="446" t="str">
        <f>data!QI34</f>
        <v/>
      </c>
      <c r="AA81" s="446" t="str">
        <f>data!QJ34</f>
        <v/>
      </c>
      <c r="AB81" s="446" t="str">
        <f>data!QK34</f>
        <v/>
      </c>
      <c r="AC81" s="446" t="str">
        <f>data!QL34</f>
        <v/>
      </c>
      <c r="AD81" s="446">
        <f>data!QM34</f>
        <v>40270597</v>
      </c>
      <c r="AE81" s="447">
        <f>data!QN34</f>
        <v>79991662</v>
      </c>
      <c r="AG81" s="109">
        <f>data!$NA$34</f>
        <v>9</v>
      </c>
      <c r="AH81" s="110">
        <f>data!$NB$34</f>
        <v>1</v>
      </c>
      <c r="AI81" s="37" t="str">
        <f>data!RR34</f>
        <v/>
      </c>
      <c r="AJ81" s="718"/>
      <c r="AK81" s="730"/>
    </row>
    <row r="82" spans="1:55" ht="15.75" customHeight="1">
      <c r="A82" s="109">
        <f>data!$NA$35</f>
        <v>9</v>
      </c>
      <c r="B82" s="110">
        <f>data!$NB$35</f>
        <v>2</v>
      </c>
      <c r="C82" s="445">
        <f>data!PL35</f>
        <v>6689159</v>
      </c>
      <c r="D82" s="446" t="str">
        <f>data!PM35</f>
        <v/>
      </c>
      <c r="E82" s="446">
        <f>data!PN35</f>
        <v>0</v>
      </c>
      <c r="F82" s="446" t="str">
        <f>data!PO35</f>
        <v/>
      </c>
      <c r="G82" s="446" t="str">
        <f>data!PP35</f>
        <v/>
      </c>
      <c r="H82" s="446" t="str">
        <f>data!PQ35</f>
        <v/>
      </c>
      <c r="I82" s="446" t="str">
        <f>data!PR35</f>
        <v/>
      </c>
      <c r="J82" s="446">
        <f>data!PS35</f>
        <v>5594508</v>
      </c>
      <c r="K82" s="446">
        <f>data!PT35</f>
        <v>1886489</v>
      </c>
      <c r="L82" s="446" t="str">
        <f>data!PU35</f>
        <v/>
      </c>
      <c r="M82" s="446">
        <f>data!PV35</f>
        <v>0</v>
      </c>
      <c r="N82" s="446" t="str">
        <f>data!PW35</f>
        <v/>
      </c>
      <c r="O82" s="446" t="str">
        <f>data!PX35</f>
        <v/>
      </c>
      <c r="P82" s="446">
        <f>data!PY35</f>
        <v>526820</v>
      </c>
      <c r="Q82" s="446" t="str">
        <f>data!PZ35</f>
        <v/>
      </c>
      <c r="R82" s="446" t="str">
        <f>data!QA35</f>
        <v/>
      </c>
      <c r="S82" s="446" t="str">
        <f>data!QB35</f>
        <v/>
      </c>
      <c r="T82" s="446" t="str">
        <f>data!QC35</f>
        <v/>
      </c>
      <c r="U82" s="446">
        <f>data!QD35</f>
        <v>14530691</v>
      </c>
      <c r="V82" s="446">
        <f>data!QE35</f>
        <v>9704856</v>
      </c>
      <c r="W82" s="446">
        <f>data!QF35</f>
        <v>771402</v>
      </c>
      <c r="X82" s="446" t="str">
        <f>data!QG35</f>
        <v/>
      </c>
      <c r="Y82" s="446" t="str">
        <f>data!QH35</f>
        <v/>
      </c>
      <c r="Z82" s="446" t="str">
        <f>data!QI35</f>
        <v/>
      </c>
      <c r="AA82" s="446" t="str">
        <f>data!QJ35</f>
        <v/>
      </c>
      <c r="AB82" s="446" t="str">
        <f>data!QK35</f>
        <v/>
      </c>
      <c r="AC82" s="446" t="str">
        <f>data!QL35</f>
        <v/>
      </c>
      <c r="AD82" s="446">
        <f>data!QM35</f>
        <v>39329906</v>
      </c>
      <c r="AE82" s="447">
        <f>data!QN35</f>
        <v>79033831</v>
      </c>
      <c r="AG82" s="109">
        <f>data!$NA$35</f>
        <v>9</v>
      </c>
      <c r="AH82" s="110">
        <f>data!$NB$35</f>
        <v>2</v>
      </c>
      <c r="AI82" s="37" t="str">
        <f>data!RR35</f>
        <v/>
      </c>
      <c r="AJ82" s="718"/>
      <c r="AK82" s="730"/>
    </row>
    <row r="83" spans="1:55" ht="15.75" customHeight="1">
      <c r="A83" s="109">
        <f>data!$NA$36</f>
        <v>5</v>
      </c>
      <c r="B83" s="110">
        <f>data!$NB$36</f>
        <v>0</v>
      </c>
      <c r="C83" s="445">
        <f>data!PL36</f>
        <v>6900757</v>
      </c>
      <c r="D83" s="446" t="str">
        <f>data!PM36</f>
        <v/>
      </c>
      <c r="E83" s="446">
        <f>data!PN36</f>
        <v>0</v>
      </c>
      <c r="F83" s="446" t="str">
        <f>data!PO36</f>
        <v/>
      </c>
      <c r="G83" s="446" t="str">
        <f>data!PP36</f>
        <v/>
      </c>
      <c r="H83" s="446" t="str">
        <f>data!PQ36</f>
        <v/>
      </c>
      <c r="I83" s="446" t="str">
        <f>data!PR36</f>
        <v/>
      </c>
      <c r="J83" s="446">
        <f>data!PS36</f>
        <v>4975631</v>
      </c>
      <c r="K83" s="446">
        <f>data!PT36</f>
        <v>1946197</v>
      </c>
      <c r="L83" s="446" t="str">
        <f>data!PU36</f>
        <v/>
      </c>
      <c r="M83" s="446">
        <f>data!PV36</f>
        <v>0</v>
      </c>
      <c r="N83" s="446" t="str">
        <f>data!PW36</f>
        <v/>
      </c>
      <c r="O83" s="446" t="str">
        <f>data!PX36</f>
        <v/>
      </c>
      <c r="P83" s="446">
        <f>data!PY36</f>
        <v>437288</v>
      </c>
      <c r="Q83" s="446" t="str">
        <f>data!PZ36</f>
        <v/>
      </c>
      <c r="R83" s="446" t="str">
        <f>data!QA36</f>
        <v/>
      </c>
      <c r="S83" s="446" t="str">
        <f>data!QB36</f>
        <v/>
      </c>
      <c r="T83" s="446" t="str">
        <f>data!QC36</f>
        <v/>
      </c>
      <c r="U83" s="446">
        <f>data!QD36</f>
        <v>14995203</v>
      </c>
      <c r="V83" s="446">
        <f>data!QE36</f>
        <v>10014928</v>
      </c>
      <c r="W83" s="446">
        <f>data!QF36</f>
        <v>796268</v>
      </c>
      <c r="X83" s="446" t="str">
        <f>data!QG36</f>
        <v/>
      </c>
      <c r="Y83" s="446" t="str">
        <f>data!QH36</f>
        <v/>
      </c>
      <c r="Z83" s="446" t="str">
        <f>data!QI36</f>
        <v/>
      </c>
      <c r="AA83" s="446" t="str">
        <f>data!QJ36</f>
        <v/>
      </c>
      <c r="AB83" s="446" t="str">
        <f>data!QK36</f>
        <v/>
      </c>
      <c r="AC83" s="446" t="str">
        <f>data!QL36</f>
        <v/>
      </c>
      <c r="AD83" s="446">
        <f>data!QM36</f>
        <v>38195129</v>
      </c>
      <c r="AE83" s="447">
        <f>data!QN36</f>
        <v>78261401</v>
      </c>
      <c r="AG83" s="109">
        <f>data!$NA$36</f>
        <v>5</v>
      </c>
      <c r="AH83" s="110">
        <f>data!$NB$36</f>
        <v>0</v>
      </c>
      <c r="AI83" s="37" t="str">
        <f>data!RR36</f>
        <v/>
      </c>
      <c r="AJ83" s="718"/>
      <c r="AK83" s="730"/>
    </row>
    <row r="84" spans="1:55" ht="15.75" customHeight="1">
      <c r="A84" s="109">
        <f>data!$NA$37</f>
        <v>5</v>
      </c>
      <c r="B84" s="110">
        <f>data!$NB$37</f>
        <v>1</v>
      </c>
      <c r="C84" s="445">
        <f>data!PL37</f>
        <v>6689110</v>
      </c>
      <c r="D84" s="446" t="str">
        <f>data!PM37</f>
        <v/>
      </c>
      <c r="E84" s="446">
        <f>data!PN37</f>
        <v>0</v>
      </c>
      <c r="F84" s="446" t="str">
        <f>data!PO37</f>
        <v/>
      </c>
      <c r="G84" s="446" t="str">
        <f>data!PP37</f>
        <v/>
      </c>
      <c r="H84" s="446" t="str">
        <f>data!PQ37</f>
        <v/>
      </c>
      <c r="I84" s="446" t="str">
        <f>data!PR37</f>
        <v/>
      </c>
      <c r="J84" s="446">
        <f>data!PS37</f>
        <v>5598906</v>
      </c>
      <c r="K84" s="446">
        <f>data!PT37</f>
        <v>1886473</v>
      </c>
      <c r="L84" s="446" t="str">
        <f>data!PU37</f>
        <v/>
      </c>
      <c r="M84" s="446">
        <f>data!PV37</f>
        <v>0</v>
      </c>
      <c r="N84" s="446" t="str">
        <f>data!PW37</f>
        <v/>
      </c>
      <c r="O84" s="446" t="str">
        <f>data!PX37</f>
        <v/>
      </c>
      <c r="P84" s="446">
        <f>data!PY37</f>
        <v>500767</v>
      </c>
      <c r="Q84" s="446" t="str">
        <f>data!PZ37</f>
        <v/>
      </c>
      <c r="R84" s="446" t="str">
        <f>data!QA37</f>
        <v/>
      </c>
      <c r="S84" s="446" t="str">
        <f>data!QB37</f>
        <v/>
      </c>
      <c r="T84" s="446" t="str">
        <f>data!QC37</f>
        <v/>
      </c>
      <c r="U84" s="446">
        <f>data!QD37</f>
        <v>14530691</v>
      </c>
      <c r="V84" s="446">
        <f>data!QE37</f>
        <v>9704856</v>
      </c>
      <c r="W84" s="446">
        <f>data!QF37</f>
        <v>771402</v>
      </c>
      <c r="X84" s="446" t="str">
        <f>data!QG37</f>
        <v/>
      </c>
      <c r="Y84" s="446" t="str">
        <f>data!QH37</f>
        <v/>
      </c>
      <c r="Z84" s="446" t="str">
        <f>data!QI37</f>
        <v/>
      </c>
      <c r="AA84" s="446" t="str">
        <f>data!QJ37</f>
        <v/>
      </c>
      <c r="AB84" s="446" t="str">
        <f>data!QK37</f>
        <v/>
      </c>
      <c r="AC84" s="446" t="str">
        <f>data!QL37</f>
        <v/>
      </c>
      <c r="AD84" s="446">
        <f>data!QM37</f>
        <v>40033183</v>
      </c>
      <c r="AE84" s="447">
        <f>data!QN37</f>
        <v>79715388</v>
      </c>
      <c r="AG84" s="109">
        <f>data!$NA$37</f>
        <v>5</v>
      </c>
      <c r="AH84" s="110">
        <f>data!$NB$37</f>
        <v>1</v>
      </c>
      <c r="AI84" s="37" t="str">
        <f>data!RR37</f>
        <v/>
      </c>
      <c r="AJ84" s="718"/>
      <c r="AK84" s="730"/>
    </row>
    <row r="85" spans="1:55" ht="15.75" customHeight="1">
      <c r="A85" s="109">
        <f>data!$NA$38</f>
        <v>5</v>
      </c>
      <c r="B85" s="110">
        <f>data!$NB$38</f>
        <v>2</v>
      </c>
      <c r="C85" s="445">
        <f>data!PL38</f>
        <v>6689110</v>
      </c>
      <c r="D85" s="446" t="str">
        <f>data!PM38</f>
        <v/>
      </c>
      <c r="E85" s="446">
        <f>data!PN38</f>
        <v>0</v>
      </c>
      <c r="F85" s="446" t="str">
        <f>data!PO38</f>
        <v/>
      </c>
      <c r="G85" s="446" t="str">
        <f>data!PP38</f>
        <v/>
      </c>
      <c r="H85" s="446" t="str">
        <f>data!PQ38</f>
        <v/>
      </c>
      <c r="I85" s="446" t="str">
        <f>data!PR38</f>
        <v/>
      </c>
      <c r="J85" s="446">
        <f>data!PS38</f>
        <v>5532970</v>
      </c>
      <c r="K85" s="446">
        <f>data!PT38</f>
        <v>1886473</v>
      </c>
      <c r="L85" s="446" t="str">
        <f>data!PU38</f>
        <v/>
      </c>
      <c r="M85" s="446">
        <f>data!PV38</f>
        <v>0</v>
      </c>
      <c r="N85" s="446" t="str">
        <f>data!PW38</f>
        <v/>
      </c>
      <c r="O85" s="446" t="str">
        <f>data!PX38</f>
        <v/>
      </c>
      <c r="P85" s="446">
        <f>data!PY38</f>
        <v>495054</v>
      </c>
      <c r="Q85" s="446" t="str">
        <f>data!PZ38</f>
        <v/>
      </c>
      <c r="R85" s="446" t="str">
        <f>data!QA38</f>
        <v/>
      </c>
      <c r="S85" s="446" t="str">
        <f>data!QB38</f>
        <v/>
      </c>
      <c r="T85" s="446" t="str">
        <f>data!QC38</f>
        <v/>
      </c>
      <c r="U85" s="446">
        <f>data!QD38</f>
        <v>14530691</v>
      </c>
      <c r="V85" s="446">
        <f>data!QE38</f>
        <v>9704856</v>
      </c>
      <c r="W85" s="446">
        <f>data!QF38</f>
        <v>771402</v>
      </c>
      <c r="X85" s="446" t="str">
        <f>data!QG38</f>
        <v/>
      </c>
      <c r="Y85" s="446" t="str">
        <f>data!QH38</f>
        <v/>
      </c>
      <c r="Z85" s="446" t="str">
        <f>data!QI38</f>
        <v/>
      </c>
      <c r="AA85" s="446" t="str">
        <f>data!QJ38</f>
        <v/>
      </c>
      <c r="AB85" s="446" t="str">
        <f>data!QK38</f>
        <v/>
      </c>
      <c r="AC85" s="446" t="str">
        <f>data!QL38</f>
        <v/>
      </c>
      <c r="AD85" s="446">
        <f>data!QM38</f>
        <v>39885254</v>
      </c>
      <c r="AE85" s="447">
        <f>data!QN38</f>
        <v>79495810</v>
      </c>
      <c r="AG85" s="109">
        <f>data!$NA$38</f>
        <v>5</v>
      </c>
      <c r="AH85" s="110">
        <f>data!$NB$38</f>
        <v>2</v>
      </c>
      <c r="AI85" s="37" t="str">
        <f>data!RR38</f>
        <v/>
      </c>
      <c r="AJ85" s="718"/>
      <c r="AK85" s="730"/>
    </row>
    <row r="86" spans="1:55" ht="15.75" customHeight="1">
      <c r="A86" s="109">
        <f>data!$NA$39</f>
        <v>1</v>
      </c>
      <c r="B86" s="110">
        <f>data!$NB$39</f>
        <v>0</v>
      </c>
      <c r="C86" s="445">
        <f>data!PL39</f>
        <v>6900659</v>
      </c>
      <c r="D86" s="446" t="str">
        <f>data!PM39</f>
        <v/>
      </c>
      <c r="E86" s="446">
        <f>data!PN39</f>
        <v>0</v>
      </c>
      <c r="F86" s="446" t="str">
        <f>data!PO39</f>
        <v/>
      </c>
      <c r="G86" s="446" t="str">
        <f>data!PP39</f>
        <v/>
      </c>
      <c r="H86" s="446" t="str">
        <f>data!PQ39</f>
        <v/>
      </c>
      <c r="I86" s="446" t="str">
        <f>data!PR39</f>
        <v/>
      </c>
      <c r="J86" s="446">
        <f>data!PS39</f>
        <v>4874668</v>
      </c>
      <c r="K86" s="446">
        <f>data!PT39</f>
        <v>1946165</v>
      </c>
      <c r="L86" s="446" t="str">
        <f>data!PU39</f>
        <v/>
      </c>
      <c r="M86" s="446">
        <f>data!PV39</f>
        <v>0</v>
      </c>
      <c r="N86" s="446" t="str">
        <f>data!PW39</f>
        <v/>
      </c>
      <c r="O86" s="446" t="str">
        <f>data!PX39</f>
        <v/>
      </c>
      <c r="P86" s="446">
        <f>data!PY39</f>
        <v>443311</v>
      </c>
      <c r="Q86" s="446" t="str">
        <f>data!PZ39</f>
        <v/>
      </c>
      <c r="R86" s="446" t="str">
        <f>data!QA39</f>
        <v/>
      </c>
      <c r="S86" s="446" t="str">
        <f>data!QB39</f>
        <v/>
      </c>
      <c r="T86" s="446" t="str">
        <f>data!QC39</f>
        <v/>
      </c>
      <c r="U86" s="446">
        <f>data!QD39</f>
        <v>14995203</v>
      </c>
      <c r="V86" s="446">
        <f>data!QE39</f>
        <v>10014928</v>
      </c>
      <c r="W86" s="446">
        <f>data!QF39</f>
        <v>796268</v>
      </c>
      <c r="X86" s="446" t="str">
        <f>data!QG39</f>
        <v/>
      </c>
      <c r="Y86" s="446" t="str">
        <f>data!QH39</f>
        <v/>
      </c>
      <c r="Z86" s="446" t="str">
        <f>data!QI39</f>
        <v/>
      </c>
      <c r="AA86" s="446" t="str">
        <f>data!QJ39</f>
        <v/>
      </c>
      <c r="AB86" s="446" t="str">
        <f>data!QK39</f>
        <v/>
      </c>
      <c r="AC86" s="446" t="str">
        <f>data!QL39</f>
        <v/>
      </c>
      <c r="AD86" s="446">
        <f>data!QM39</f>
        <v>39076111</v>
      </c>
      <c r="AE86" s="447">
        <f>data!QN39</f>
        <v>79047313</v>
      </c>
      <c r="AG86" s="109">
        <f>data!$NA$39</f>
        <v>1</v>
      </c>
      <c r="AH86" s="110">
        <f>data!$NB$39</f>
        <v>0</v>
      </c>
      <c r="AI86" s="37" t="str">
        <f>data!RR39</f>
        <v/>
      </c>
      <c r="AJ86" s="718"/>
      <c r="AK86" s="730"/>
    </row>
    <row r="87" spans="1:55" ht="15.75" customHeight="1">
      <c r="A87" s="109">
        <f>data!$NA$40</f>
        <v>1</v>
      </c>
      <c r="B87" s="110">
        <f>data!$NB$40</f>
        <v>1</v>
      </c>
      <c r="C87" s="445">
        <f>data!PL40</f>
        <v>6689110</v>
      </c>
      <c r="D87" s="446" t="str">
        <f>data!PM40</f>
        <v/>
      </c>
      <c r="E87" s="446">
        <f>data!PN40</f>
        <v>0</v>
      </c>
      <c r="F87" s="446" t="str">
        <f>data!PO40</f>
        <v/>
      </c>
      <c r="G87" s="446" t="str">
        <f>data!PP40</f>
        <v/>
      </c>
      <c r="H87" s="446" t="str">
        <f>data!PQ40</f>
        <v/>
      </c>
      <c r="I87" s="446" t="str">
        <f>data!PR40</f>
        <v/>
      </c>
      <c r="J87" s="446">
        <f>data!PS40</f>
        <v>5679791</v>
      </c>
      <c r="K87" s="446">
        <f>data!PT40</f>
        <v>1886473</v>
      </c>
      <c r="L87" s="446" t="str">
        <f>data!PU40</f>
        <v/>
      </c>
      <c r="M87" s="446">
        <f>data!PV40</f>
        <v>0</v>
      </c>
      <c r="N87" s="446" t="str">
        <f>data!PW40</f>
        <v/>
      </c>
      <c r="O87" s="446" t="str">
        <f>data!PX40</f>
        <v/>
      </c>
      <c r="P87" s="446">
        <f>data!PY40</f>
        <v>506042</v>
      </c>
      <c r="Q87" s="446" t="str">
        <f>data!PZ40</f>
        <v/>
      </c>
      <c r="R87" s="446" t="str">
        <f>data!QA40</f>
        <v/>
      </c>
      <c r="S87" s="446" t="str">
        <f>data!QB40</f>
        <v/>
      </c>
      <c r="T87" s="446" t="str">
        <f>data!QC40</f>
        <v/>
      </c>
      <c r="U87" s="446">
        <f>data!QD40</f>
        <v>14530691</v>
      </c>
      <c r="V87" s="446">
        <f>data!QE40</f>
        <v>9704856</v>
      </c>
      <c r="W87" s="446">
        <f>data!QF40</f>
        <v>771402</v>
      </c>
      <c r="X87" s="446" t="str">
        <f>data!QG40</f>
        <v/>
      </c>
      <c r="Y87" s="446" t="str">
        <f>data!QH40</f>
        <v/>
      </c>
      <c r="Z87" s="446" t="str">
        <f>data!QI40</f>
        <v/>
      </c>
      <c r="AA87" s="446" t="str">
        <f>data!QJ40</f>
        <v/>
      </c>
      <c r="AB87" s="446" t="str">
        <f>data!QK40</f>
        <v/>
      </c>
      <c r="AC87" s="446" t="str">
        <f>data!QL40</f>
        <v/>
      </c>
      <c r="AD87" s="446">
        <f>data!QM40</f>
        <v>40489105</v>
      </c>
      <c r="AE87" s="447">
        <f>data!QN40</f>
        <v>80257470</v>
      </c>
      <c r="AG87" s="109">
        <f>data!$NA$40</f>
        <v>1</v>
      </c>
      <c r="AH87" s="110">
        <f>data!$NB$40</f>
        <v>1</v>
      </c>
      <c r="AI87" s="37" t="str">
        <f>data!RR40</f>
        <v/>
      </c>
      <c r="AJ87" s="718"/>
      <c r="AK87" s="730"/>
    </row>
    <row r="88" spans="1:55" ht="15.75" customHeight="1" thickBot="1">
      <c r="A88" s="114">
        <f>data!$NA$41</f>
        <v>1</v>
      </c>
      <c r="B88" s="463">
        <f>data!$NB$41</f>
        <v>2</v>
      </c>
      <c r="C88" s="448">
        <f>data!PL41</f>
        <v>6689110</v>
      </c>
      <c r="D88" s="449" t="str">
        <f>data!PM41</f>
        <v/>
      </c>
      <c r="E88" s="449">
        <f>data!PN41</f>
        <v>0</v>
      </c>
      <c r="F88" s="449" t="str">
        <f>data!PO41</f>
        <v/>
      </c>
      <c r="G88" s="449" t="str">
        <f>data!PP41</f>
        <v/>
      </c>
      <c r="H88" s="449" t="str">
        <f>data!PQ41</f>
        <v/>
      </c>
      <c r="I88" s="449" t="str">
        <f>data!PR41</f>
        <v/>
      </c>
      <c r="J88" s="449">
        <f>data!PS41</f>
        <v>5587966</v>
      </c>
      <c r="K88" s="449">
        <f>data!PT41</f>
        <v>1886473</v>
      </c>
      <c r="L88" s="449" t="str">
        <f>data!PU41</f>
        <v/>
      </c>
      <c r="M88" s="449">
        <f>data!PV41</f>
        <v>0</v>
      </c>
      <c r="N88" s="449" t="str">
        <f>data!PW41</f>
        <v/>
      </c>
      <c r="O88" s="449" t="str">
        <f>data!PX41</f>
        <v/>
      </c>
      <c r="P88" s="449">
        <f>data!PY41</f>
        <v>492675</v>
      </c>
      <c r="Q88" s="449" t="str">
        <f>data!PZ41</f>
        <v/>
      </c>
      <c r="R88" s="449" t="str">
        <f>data!QA41</f>
        <v/>
      </c>
      <c r="S88" s="449" t="str">
        <f>data!QB41</f>
        <v/>
      </c>
      <c r="T88" s="449" t="str">
        <f>data!QC41</f>
        <v/>
      </c>
      <c r="U88" s="449">
        <f>data!QD41</f>
        <v>14530691</v>
      </c>
      <c r="V88" s="449">
        <f>data!QE41</f>
        <v>9704856</v>
      </c>
      <c r="W88" s="449">
        <f>data!QF41</f>
        <v>771402</v>
      </c>
      <c r="X88" s="449" t="str">
        <f>data!QG41</f>
        <v/>
      </c>
      <c r="Y88" s="449" t="str">
        <f>data!QH41</f>
        <v/>
      </c>
      <c r="Z88" s="449" t="str">
        <f>data!QI41</f>
        <v/>
      </c>
      <c r="AA88" s="449" t="str">
        <f>data!QJ41</f>
        <v/>
      </c>
      <c r="AB88" s="449" t="str">
        <f>data!QK41</f>
        <v/>
      </c>
      <c r="AC88" s="449" t="str">
        <f>data!QL41</f>
        <v/>
      </c>
      <c r="AD88" s="449">
        <f>data!QM41</f>
        <v>40328523</v>
      </c>
      <c r="AE88" s="450">
        <f>data!QN41</f>
        <v>79991696</v>
      </c>
      <c r="AG88" s="114">
        <f>data!$NA$41</f>
        <v>1</v>
      </c>
      <c r="AH88" s="463">
        <f>data!$NB$41</f>
        <v>2</v>
      </c>
      <c r="AI88" s="491" t="str">
        <f>data!RR41</f>
        <v/>
      </c>
      <c r="AJ88" s="718"/>
      <c r="AK88" s="730"/>
    </row>
    <row r="89" spans="1:55" ht="15.75" customHeight="1" thickTop="1" thickBot="1">
      <c r="A89" s="666" t="str">
        <f>data!$NB$42</f>
        <v>CMG 1 total</v>
      </c>
      <c r="B89" s="667"/>
      <c r="C89" s="479">
        <f>data!PL42</f>
        <v>81115756</v>
      </c>
      <c r="D89" s="480" t="str">
        <f>data!PM42</f>
        <v/>
      </c>
      <c r="E89" s="480">
        <f>data!PN42</f>
        <v>0</v>
      </c>
      <c r="F89" s="480" t="str">
        <f>data!PO42</f>
        <v/>
      </c>
      <c r="G89" s="480" t="str">
        <f>data!PP42</f>
        <v/>
      </c>
      <c r="H89" s="480" t="str">
        <f>data!PQ42</f>
        <v/>
      </c>
      <c r="I89" s="480" t="str">
        <f>data!PR42</f>
        <v/>
      </c>
      <c r="J89" s="480">
        <f>data!PS42</f>
        <v>64901304</v>
      </c>
      <c r="K89" s="480">
        <f>data!PT42</f>
        <v>22876524</v>
      </c>
      <c r="L89" s="480" t="str">
        <f>data!PU42</f>
        <v/>
      </c>
      <c r="M89" s="480">
        <f>data!PV42</f>
        <v>0</v>
      </c>
      <c r="N89" s="480" t="str">
        <f>data!PW42</f>
        <v/>
      </c>
      <c r="O89" s="480" t="str">
        <f>data!PX42</f>
        <v/>
      </c>
      <c r="P89" s="480">
        <f>data!PY42</f>
        <v>5779007</v>
      </c>
      <c r="Q89" s="480" t="str">
        <f>data!PZ42</f>
        <v/>
      </c>
      <c r="R89" s="480" t="str">
        <f>data!QA42</f>
        <v/>
      </c>
      <c r="S89" s="480" t="str">
        <f>data!QB42</f>
        <v/>
      </c>
      <c r="T89" s="480" t="str">
        <f>data!QC42</f>
        <v/>
      </c>
      <c r="U89" s="480">
        <f>data!QD42</f>
        <v>176226340</v>
      </c>
      <c r="V89" s="480">
        <f>data!QE42</f>
        <v>117698560</v>
      </c>
      <c r="W89" s="480">
        <f>data!QF42</f>
        <v>9356288</v>
      </c>
      <c r="X89" s="480" t="str">
        <f>data!QG42</f>
        <v/>
      </c>
      <c r="Y89" s="480" t="str">
        <f>data!QH42</f>
        <v/>
      </c>
      <c r="Z89" s="480" t="str">
        <f>data!QI42</f>
        <v/>
      </c>
      <c r="AA89" s="480" t="str">
        <f>data!QJ42</f>
        <v/>
      </c>
      <c r="AB89" s="480" t="str">
        <f>data!QK42</f>
        <v/>
      </c>
      <c r="AC89" s="480" t="str">
        <f>data!QL42</f>
        <v/>
      </c>
      <c r="AD89" s="480">
        <f>data!QM42</f>
        <v>474931814</v>
      </c>
      <c r="AE89" s="481">
        <f>data!QN42</f>
        <v>952885593</v>
      </c>
      <c r="AG89" s="745" t="str">
        <f>data!$NB$42</f>
        <v>CMG 1 total</v>
      </c>
      <c r="AH89" s="746"/>
      <c r="AI89" s="492" t="str">
        <f>data!RR42</f>
        <v/>
      </c>
      <c r="AJ89" s="493" t="str">
        <f>data!RS42</f>
        <v/>
      </c>
      <c r="AK89" s="494" t="str">
        <f>data!RT42</f>
        <v/>
      </c>
    </row>
    <row r="90" spans="1:55" ht="15.75" customHeight="1" thickBot="1">
      <c r="A90" s="668"/>
      <c r="B90" s="669"/>
      <c r="C90" s="757">
        <f>data!PL43</f>
        <v>174672591</v>
      </c>
      <c r="D90" s="758"/>
      <c r="E90" s="758"/>
      <c r="F90" s="758"/>
      <c r="G90" s="758"/>
      <c r="H90" s="758"/>
      <c r="I90" s="758"/>
      <c r="J90" s="758"/>
      <c r="K90" s="758"/>
      <c r="L90" s="758"/>
      <c r="M90" s="758"/>
      <c r="N90" s="758"/>
      <c r="O90" s="758"/>
      <c r="P90" s="759"/>
      <c r="Q90" s="770" t="str">
        <f>data!PZ43</f>
        <v/>
      </c>
      <c r="R90" s="758"/>
      <c r="S90" s="759"/>
      <c r="T90" s="43" t="str">
        <f>data!QC43</f>
        <v/>
      </c>
      <c r="U90" s="770">
        <f>data!QD43</f>
        <v>303281188</v>
      </c>
      <c r="V90" s="758"/>
      <c r="W90" s="759"/>
      <c r="X90" s="769" t="str">
        <f>data!QG43</f>
        <v/>
      </c>
      <c r="Y90" s="769"/>
      <c r="Z90" s="43" t="str">
        <f>data!QI43</f>
        <v/>
      </c>
      <c r="AA90" s="43" t="str">
        <f>data!QJ43</f>
        <v/>
      </c>
      <c r="AB90" s="43" t="str">
        <f>data!QK43</f>
        <v/>
      </c>
      <c r="AC90" s="43" t="str">
        <f>data!QL43</f>
        <v/>
      </c>
      <c r="AD90" s="43">
        <f>data!QM43</f>
        <v>474931814</v>
      </c>
      <c r="AE90" s="451">
        <f>data!QN43</f>
        <v>952885593</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13</v>
      </c>
      <c r="B98" s="112">
        <f>data!$NB$30</f>
        <v>0</v>
      </c>
      <c r="C98" s="125" t="str">
        <f>data!RC30</f>
        <v/>
      </c>
      <c r="D98" s="48" t="str">
        <f>data!RD30</f>
        <v/>
      </c>
      <c r="E98" s="48" t="str">
        <f>data!RE30</f>
        <v/>
      </c>
      <c r="F98" s="48" t="str">
        <f>data!RF30</f>
        <v/>
      </c>
      <c r="G98" s="48" t="str">
        <f>data!RG30</f>
        <v/>
      </c>
      <c r="H98" s="48" t="str">
        <f>data!RH30</f>
        <v/>
      </c>
      <c r="I98" s="126" t="str">
        <f>data!RI30</f>
        <v/>
      </c>
      <c r="K98" s="111">
        <f>data!$NA$30</f>
        <v>13</v>
      </c>
      <c r="L98" s="112">
        <f>data!$NB$30</f>
        <v>0</v>
      </c>
      <c r="M98" s="572" t="str">
        <f>data!QO30</f>
        <v/>
      </c>
      <c r="N98" s="572" t="str">
        <f>data!QP30</f>
        <v/>
      </c>
      <c r="O98" s="572" t="str">
        <f>data!QQ30</f>
        <v/>
      </c>
      <c r="P98" s="129">
        <f>data!QR30</f>
        <v>3.3958524689594594</v>
      </c>
      <c r="R98" s="105">
        <f>data!$NA$30</f>
        <v>13</v>
      </c>
      <c r="S98" s="106">
        <f>data!$NB$30</f>
        <v>0</v>
      </c>
      <c r="T98" s="6" t="str">
        <f>data!QS30</f>
        <v/>
      </c>
      <c r="U98" s="6" t="str">
        <f>data!QT30</f>
        <v/>
      </c>
      <c r="V98" s="38" t="str">
        <f>data!QU30</f>
        <v/>
      </c>
      <c r="W98" s="96" t="str">
        <f>data!QV30</f>
        <v/>
      </c>
      <c r="X98" s="97" t="str">
        <f>data!QW30</f>
        <v/>
      </c>
      <c r="Y98" s="97" t="str">
        <f>data!QX30</f>
        <v/>
      </c>
      <c r="Z98" s="97" t="str">
        <f>data!QY30</f>
        <v/>
      </c>
      <c r="AA98" s="97" t="str">
        <f>data!QZ30</f>
        <v/>
      </c>
      <c r="AB98" s="81" t="str">
        <f>data!RA30</f>
        <v/>
      </c>
      <c r="AC98" s="456" t="str">
        <f>data!RB30</f>
        <v/>
      </c>
      <c r="AN98" s="432"/>
    </row>
    <row r="99" spans="1:40" ht="15.75" customHeight="1">
      <c r="A99" s="109">
        <f>data!$NA$31</f>
        <v>13</v>
      </c>
      <c r="B99" s="110">
        <f>data!$NB$31</f>
        <v>1</v>
      </c>
      <c r="C99" s="7" t="str">
        <f>data!RC31</f>
        <v/>
      </c>
      <c r="D99" s="6" t="str">
        <f>data!RD31</f>
        <v/>
      </c>
      <c r="E99" s="6" t="str">
        <f>data!RE31</f>
        <v/>
      </c>
      <c r="F99" s="6" t="str">
        <f>data!RF31</f>
        <v/>
      </c>
      <c r="G99" s="6" t="str">
        <f>data!RG31</f>
        <v/>
      </c>
      <c r="H99" s="6" t="str">
        <f>data!RH31</f>
        <v/>
      </c>
      <c r="I99" s="8" t="str">
        <f>data!RI31</f>
        <v/>
      </c>
      <c r="K99" s="109">
        <f>data!$NA$31</f>
        <v>13</v>
      </c>
      <c r="L99" s="110">
        <f>data!$NB$31</f>
        <v>1</v>
      </c>
      <c r="M99" s="573" t="str">
        <f>data!QO31</f>
        <v/>
      </c>
      <c r="N99" s="573" t="str">
        <f>data!QP31</f>
        <v/>
      </c>
      <c r="O99" s="573" t="str">
        <f>data!QQ31</f>
        <v/>
      </c>
      <c r="P99" s="26">
        <f>data!QR31</f>
        <v>3.293077779245869</v>
      </c>
      <c r="R99" s="109">
        <f>data!$NA$31</f>
        <v>13</v>
      </c>
      <c r="S99" s="110">
        <f>data!$NB$31</f>
        <v>1</v>
      </c>
      <c r="T99" s="6" t="str">
        <f>data!QS31</f>
        <v/>
      </c>
      <c r="U99" s="6" t="str">
        <f>data!QT31</f>
        <v/>
      </c>
      <c r="V99" s="38" t="str">
        <f>data!QU31</f>
        <v/>
      </c>
      <c r="W99" s="96" t="str">
        <f>data!QV31</f>
        <v/>
      </c>
      <c r="X99" s="97" t="str">
        <f>data!QW31</f>
        <v/>
      </c>
      <c r="Y99" s="97" t="str">
        <f>data!QX31</f>
        <v/>
      </c>
      <c r="Z99" s="97" t="str">
        <f>data!QY31</f>
        <v/>
      </c>
      <c r="AA99" s="97" t="str">
        <f>data!QZ31</f>
        <v/>
      </c>
      <c r="AB99" s="459" t="str">
        <f>data!RA31</f>
        <v/>
      </c>
      <c r="AC99" s="457" t="str">
        <f>data!RB31</f>
        <v/>
      </c>
      <c r="AN99" s="432"/>
    </row>
    <row r="100" spans="1:40" ht="15.75" customHeight="1">
      <c r="A100" s="109">
        <f>data!$NA$32</f>
        <v>13</v>
      </c>
      <c r="B100" s="110">
        <f>data!$NB$32</f>
        <v>2</v>
      </c>
      <c r="C100" s="7" t="str">
        <f>data!RC32</f>
        <v/>
      </c>
      <c r="D100" s="6" t="str">
        <f>data!RD32</f>
        <v/>
      </c>
      <c r="E100" s="6" t="str">
        <f>data!RE32</f>
        <v/>
      </c>
      <c r="F100" s="6" t="str">
        <f>data!RF32</f>
        <v/>
      </c>
      <c r="G100" s="6" t="str">
        <f>data!RG32</f>
        <v/>
      </c>
      <c r="H100" s="6" t="str">
        <f>data!RH32</f>
        <v/>
      </c>
      <c r="I100" s="8" t="str">
        <f>data!RI32</f>
        <v/>
      </c>
      <c r="K100" s="109">
        <f>data!$NA$32</f>
        <v>13</v>
      </c>
      <c r="L100" s="110">
        <f>data!$NB$32</f>
        <v>2</v>
      </c>
      <c r="M100" s="573" t="str">
        <f>data!QO32</f>
        <v/>
      </c>
      <c r="N100" s="573" t="str">
        <f>data!QP32</f>
        <v/>
      </c>
      <c r="O100" s="573" t="str">
        <f>data!QQ32</f>
        <v/>
      </c>
      <c r="P100" s="26">
        <f>data!QR32</f>
        <v>3.292391738280954</v>
      </c>
      <c r="R100" s="109">
        <f>data!$NA$32</f>
        <v>13</v>
      </c>
      <c r="S100" s="110">
        <f>data!$NB$32</f>
        <v>2</v>
      </c>
      <c r="T100" s="6" t="str">
        <f>data!QS32</f>
        <v/>
      </c>
      <c r="U100" s="6" t="str">
        <f>data!QT32</f>
        <v/>
      </c>
      <c r="V100" s="38" t="str">
        <f>data!QU32</f>
        <v/>
      </c>
      <c r="W100" s="96" t="str">
        <f>data!QV32</f>
        <v/>
      </c>
      <c r="X100" s="97" t="str">
        <f>data!QW32</f>
        <v/>
      </c>
      <c r="Y100" s="97" t="str">
        <f>data!QX32</f>
        <v/>
      </c>
      <c r="Z100" s="97" t="str">
        <f>data!QY32</f>
        <v/>
      </c>
      <c r="AA100" s="97" t="str">
        <f>data!QZ32</f>
        <v/>
      </c>
      <c r="AB100" s="459" t="str">
        <f>data!RA32</f>
        <v/>
      </c>
      <c r="AC100" s="457" t="str">
        <f>data!RB32</f>
        <v/>
      </c>
      <c r="AN100" s="432"/>
    </row>
    <row r="101" spans="1:40" ht="15.75" customHeight="1">
      <c r="A101" s="109">
        <f>data!$NA$33</f>
        <v>9</v>
      </c>
      <c r="B101" s="110">
        <f>data!$NB$33</f>
        <v>0</v>
      </c>
      <c r="C101" s="7" t="str">
        <f>data!RC33</f>
        <v/>
      </c>
      <c r="D101" s="6" t="str">
        <f>data!RD33</f>
        <v/>
      </c>
      <c r="E101" s="6" t="str">
        <f>data!RE33</f>
        <v/>
      </c>
      <c r="F101" s="6" t="str">
        <f>data!RF33</f>
        <v/>
      </c>
      <c r="G101" s="6" t="str">
        <f>data!RG33</f>
        <v/>
      </c>
      <c r="H101" s="6" t="str">
        <f>data!RH33</f>
        <v/>
      </c>
      <c r="I101" s="8" t="str">
        <f>data!RI33</f>
        <v/>
      </c>
      <c r="K101" s="109">
        <f>data!$NA$33</f>
        <v>9</v>
      </c>
      <c r="L101" s="110">
        <f>data!$NB$33</f>
        <v>0</v>
      </c>
      <c r="M101" s="573" t="str">
        <f>data!QO33</f>
        <v/>
      </c>
      <c r="N101" s="573" t="str">
        <f>data!QP33</f>
        <v/>
      </c>
      <c r="O101" s="573" t="str">
        <f>data!QQ33</f>
        <v/>
      </c>
      <c r="P101" s="26">
        <f>data!QR33</f>
        <v>3.404560832180644</v>
      </c>
      <c r="R101" s="109">
        <f>data!$NA$33</f>
        <v>9</v>
      </c>
      <c r="S101" s="110">
        <f>data!$NB$33</f>
        <v>0</v>
      </c>
      <c r="T101" s="6" t="str">
        <f>data!QS33</f>
        <v/>
      </c>
      <c r="U101" s="6" t="str">
        <f>data!QT33</f>
        <v/>
      </c>
      <c r="V101" s="38" t="str">
        <f>data!QU33</f>
        <v/>
      </c>
      <c r="W101" s="96" t="str">
        <f>data!QV33</f>
        <v/>
      </c>
      <c r="X101" s="97" t="str">
        <f>data!QW33</f>
        <v/>
      </c>
      <c r="Y101" s="97" t="str">
        <f>data!QX33</f>
        <v/>
      </c>
      <c r="Z101" s="97" t="str">
        <f>data!QY33</f>
        <v/>
      </c>
      <c r="AA101" s="97" t="str">
        <f>data!QZ33</f>
        <v/>
      </c>
      <c r="AB101" s="459" t="str">
        <f>data!RA33</f>
        <v/>
      </c>
      <c r="AC101" s="457" t="str">
        <f>data!RB33</f>
        <v/>
      </c>
      <c r="AN101" s="432"/>
    </row>
    <row r="102" spans="1:40" ht="15.75" customHeight="1">
      <c r="A102" s="109">
        <f>data!$NA$34</f>
        <v>9</v>
      </c>
      <c r="B102" s="110">
        <f>data!$NB$34</f>
        <v>1</v>
      </c>
      <c r="C102" s="7" t="str">
        <f>data!RC34</f>
        <v/>
      </c>
      <c r="D102" s="6" t="str">
        <f>data!RD34</f>
        <v/>
      </c>
      <c r="E102" s="6" t="str">
        <f>data!RE34</f>
        <v/>
      </c>
      <c r="F102" s="6" t="str">
        <f>data!RF34</f>
        <v/>
      </c>
      <c r="G102" s="6" t="str">
        <f>data!RG34</f>
        <v/>
      </c>
      <c r="H102" s="6" t="str">
        <f>data!RH34</f>
        <v/>
      </c>
      <c r="I102" s="8" t="str">
        <f>data!RI34</f>
        <v/>
      </c>
      <c r="K102" s="109">
        <f>data!$NA$34</f>
        <v>9</v>
      </c>
      <c r="L102" s="110">
        <f>data!$NB$34</f>
        <v>1</v>
      </c>
      <c r="M102" s="573" t="str">
        <f>data!QO34</f>
        <v/>
      </c>
      <c r="N102" s="573" t="str">
        <f>data!QP34</f>
        <v/>
      </c>
      <c r="O102" s="573" t="str">
        <f>data!QQ34</f>
        <v/>
      </c>
      <c r="P102" s="26">
        <f>data!QR34</f>
        <v>3.3002618489413269</v>
      </c>
      <c r="R102" s="109">
        <f>data!$NA$34</f>
        <v>9</v>
      </c>
      <c r="S102" s="110">
        <f>data!$NB$34</f>
        <v>1</v>
      </c>
      <c r="T102" s="6" t="str">
        <f>data!QS34</f>
        <v/>
      </c>
      <c r="U102" s="6" t="str">
        <f>data!QT34</f>
        <v/>
      </c>
      <c r="V102" s="38" t="str">
        <f>data!QU34</f>
        <v/>
      </c>
      <c r="W102" s="96" t="str">
        <f>data!QV34</f>
        <v/>
      </c>
      <c r="X102" s="97" t="str">
        <f>data!QW34</f>
        <v/>
      </c>
      <c r="Y102" s="97" t="str">
        <f>data!QX34</f>
        <v/>
      </c>
      <c r="Z102" s="97" t="str">
        <f>data!QY34</f>
        <v/>
      </c>
      <c r="AA102" s="97" t="str">
        <f>data!QZ34</f>
        <v/>
      </c>
      <c r="AB102" s="459" t="str">
        <f>data!RA34</f>
        <v/>
      </c>
      <c r="AC102" s="457" t="str">
        <f>data!RB34</f>
        <v/>
      </c>
      <c r="AN102" s="432"/>
    </row>
    <row r="103" spans="1:40" ht="15.75" customHeight="1">
      <c r="A103" s="109">
        <f>data!$NA$35</f>
        <v>9</v>
      </c>
      <c r="B103" s="110">
        <f>data!$NB$35</f>
        <v>2</v>
      </c>
      <c r="C103" s="7" t="str">
        <f>data!RC35</f>
        <v/>
      </c>
      <c r="D103" s="6" t="str">
        <f>data!RD35</f>
        <v/>
      </c>
      <c r="E103" s="6" t="str">
        <f>data!RE35</f>
        <v/>
      </c>
      <c r="F103" s="6" t="str">
        <f>data!RF35</f>
        <v/>
      </c>
      <c r="G103" s="6" t="str">
        <f>data!RG35</f>
        <v/>
      </c>
      <c r="H103" s="6" t="str">
        <f>data!RH35</f>
        <v/>
      </c>
      <c r="I103" s="8" t="str">
        <f>data!RI35</f>
        <v/>
      </c>
      <c r="K103" s="109">
        <f>data!$NA$35</f>
        <v>9</v>
      </c>
      <c r="L103" s="110">
        <f>data!$NB$35</f>
        <v>2</v>
      </c>
      <c r="M103" s="573" t="str">
        <f>data!QO35</f>
        <v/>
      </c>
      <c r="N103" s="573" t="str">
        <f>data!QP35</f>
        <v/>
      </c>
      <c r="O103" s="573" t="str">
        <f>data!QQ35</f>
        <v/>
      </c>
      <c r="P103" s="26">
        <f>data!QR35</f>
        <v>3.3008380550859453</v>
      </c>
      <c r="R103" s="109">
        <f>data!$NA$35</f>
        <v>9</v>
      </c>
      <c r="S103" s="110">
        <f>data!$NB$35</f>
        <v>2</v>
      </c>
      <c r="T103" s="6" t="str">
        <f>data!QS35</f>
        <v/>
      </c>
      <c r="U103" s="6" t="str">
        <f>data!QT35</f>
        <v/>
      </c>
      <c r="V103" s="38" t="str">
        <f>data!QU35</f>
        <v/>
      </c>
      <c r="W103" s="96" t="str">
        <f>data!QV35</f>
        <v/>
      </c>
      <c r="X103" s="97" t="str">
        <f>data!QW35</f>
        <v/>
      </c>
      <c r="Y103" s="97" t="str">
        <f>data!QX35</f>
        <v/>
      </c>
      <c r="Z103" s="97" t="str">
        <f>data!QY35</f>
        <v/>
      </c>
      <c r="AA103" s="97" t="str">
        <f>data!QZ35</f>
        <v/>
      </c>
      <c r="AB103" s="459" t="str">
        <f>data!RA35</f>
        <v/>
      </c>
      <c r="AC103" s="457" t="str">
        <f>data!RB35</f>
        <v/>
      </c>
      <c r="AN103" s="432"/>
    </row>
    <row r="104" spans="1:40" ht="15.75" customHeight="1">
      <c r="A104" s="109">
        <f>data!$NA$36</f>
        <v>5</v>
      </c>
      <c r="B104" s="110">
        <f>data!$NB$36</f>
        <v>0</v>
      </c>
      <c r="C104" s="7" t="str">
        <f>data!RC36</f>
        <v/>
      </c>
      <c r="D104" s="6" t="str">
        <f>data!RD36</f>
        <v/>
      </c>
      <c r="E104" s="6" t="str">
        <f>data!RE36</f>
        <v/>
      </c>
      <c r="F104" s="6" t="str">
        <f>data!RF36</f>
        <v/>
      </c>
      <c r="G104" s="6" t="str">
        <f>data!RG36</f>
        <v/>
      </c>
      <c r="H104" s="6" t="str">
        <f>data!RH36</f>
        <v/>
      </c>
      <c r="I104" s="8" t="str">
        <f>data!RI36</f>
        <v/>
      </c>
      <c r="K104" s="109">
        <f>data!$NA$36</f>
        <v>5</v>
      </c>
      <c r="L104" s="110">
        <f>data!$NB$36</f>
        <v>0</v>
      </c>
      <c r="M104" s="573" t="str">
        <f>data!QO36</f>
        <v/>
      </c>
      <c r="N104" s="573" t="str">
        <f>data!QP36</f>
        <v/>
      </c>
      <c r="O104" s="573" t="str">
        <f>data!QQ36</f>
        <v/>
      </c>
      <c r="P104" s="26">
        <f>data!QR36</f>
        <v>3.4466965172912114</v>
      </c>
      <c r="R104" s="109">
        <f>data!$NA$36</f>
        <v>5</v>
      </c>
      <c r="S104" s="110">
        <f>data!$NB$36</f>
        <v>0</v>
      </c>
      <c r="T104" s="6" t="str">
        <f>data!QS36</f>
        <v/>
      </c>
      <c r="U104" s="6" t="str">
        <f>data!QT36</f>
        <v/>
      </c>
      <c r="V104" s="38" t="str">
        <f>data!QU36</f>
        <v/>
      </c>
      <c r="W104" s="96" t="str">
        <f>data!QV36</f>
        <v/>
      </c>
      <c r="X104" s="97" t="str">
        <f>data!QW36</f>
        <v/>
      </c>
      <c r="Y104" s="97" t="str">
        <f>data!QX36</f>
        <v/>
      </c>
      <c r="Z104" s="97" t="str">
        <f>data!QY36</f>
        <v/>
      </c>
      <c r="AA104" s="97" t="str">
        <f>data!QZ36</f>
        <v/>
      </c>
      <c r="AB104" s="459" t="str">
        <f>data!RA36</f>
        <v/>
      </c>
      <c r="AC104" s="457" t="str">
        <f>data!RB36</f>
        <v/>
      </c>
      <c r="AN104" s="432"/>
    </row>
    <row r="105" spans="1:40" ht="15.75" customHeight="1">
      <c r="A105" s="109">
        <f>data!$NA$37</f>
        <v>5</v>
      </c>
      <c r="B105" s="110">
        <f>data!$NB$37</f>
        <v>1</v>
      </c>
      <c r="C105" s="7" t="str">
        <f>data!RC37</f>
        <v/>
      </c>
      <c r="D105" s="6" t="str">
        <f>data!RD37</f>
        <v/>
      </c>
      <c r="E105" s="6" t="str">
        <f>data!RE37</f>
        <v/>
      </c>
      <c r="F105" s="6" t="str">
        <f>data!RF37</f>
        <v/>
      </c>
      <c r="G105" s="6" t="str">
        <f>data!RG37</f>
        <v/>
      </c>
      <c r="H105" s="6" t="str">
        <f>data!RH37</f>
        <v/>
      </c>
      <c r="I105" s="8" t="str">
        <f>data!RI37</f>
        <v/>
      </c>
      <c r="K105" s="109">
        <f>data!$NA$37</f>
        <v>5</v>
      </c>
      <c r="L105" s="110">
        <f>data!$NB$37</f>
        <v>1</v>
      </c>
      <c r="M105" s="573" t="str">
        <f>data!QO37</f>
        <v/>
      </c>
      <c r="N105" s="573" t="str">
        <f>data!QP37</f>
        <v/>
      </c>
      <c r="O105" s="573" t="str">
        <f>data!QQ37</f>
        <v/>
      </c>
      <c r="P105" s="26">
        <f>data!QR37</f>
        <v>3.341941654257325</v>
      </c>
      <c r="R105" s="109">
        <f>data!$NA$37</f>
        <v>5</v>
      </c>
      <c r="S105" s="110">
        <f>data!$NB$37</f>
        <v>1</v>
      </c>
      <c r="T105" s="6" t="str">
        <f>data!QS37</f>
        <v/>
      </c>
      <c r="U105" s="6" t="str">
        <f>data!QT37</f>
        <v/>
      </c>
      <c r="V105" s="38" t="str">
        <f>data!QU37</f>
        <v/>
      </c>
      <c r="W105" s="96" t="str">
        <f>data!QV37</f>
        <v/>
      </c>
      <c r="X105" s="97" t="str">
        <f>data!QW37</f>
        <v/>
      </c>
      <c r="Y105" s="97" t="str">
        <f>data!QX37</f>
        <v/>
      </c>
      <c r="Z105" s="97" t="str">
        <f>data!QY37</f>
        <v/>
      </c>
      <c r="AA105" s="97" t="str">
        <f>data!QZ37</f>
        <v/>
      </c>
      <c r="AB105" s="459" t="str">
        <f>data!RA37</f>
        <v/>
      </c>
      <c r="AC105" s="457" t="str">
        <f>data!RB37</f>
        <v/>
      </c>
      <c r="AN105" s="432"/>
    </row>
    <row r="106" spans="1:40" ht="15.75" customHeight="1">
      <c r="A106" s="109">
        <f>data!$NA$38</f>
        <v>5</v>
      </c>
      <c r="B106" s="110">
        <f>data!$NB$38</f>
        <v>2</v>
      </c>
      <c r="C106" s="7" t="str">
        <f>data!RC38</f>
        <v/>
      </c>
      <c r="D106" s="6" t="str">
        <f>data!RD38</f>
        <v/>
      </c>
      <c r="E106" s="6" t="str">
        <f>data!RE38</f>
        <v/>
      </c>
      <c r="F106" s="6" t="str">
        <f>data!RF38</f>
        <v/>
      </c>
      <c r="G106" s="6" t="str">
        <f>data!RG38</f>
        <v/>
      </c>
      <c r="H106" s="6" t="str">
        <f>data!RH38</f>
        <v/>
      </c>
      <c r="I106" s="8" t="str">
        <f>data!RI38</f>
        <v/>
      </c>
      <c r="K106" s="109">
        <f>data!$NA$38</f>
        <v>5</v>
      </c>
      <c r="L106" s="110">
        <f>data!$NB$38</f>
        <v>2</v>
      </c>
      <c r="M106" s="573" t="str">
        <f>data!QO38</f>
        <v/>
      </c>
      <c r="N106" s="573" t="str">
        <f>data!QP38</f>
        <v/>
      </c>
      <c r="O106" s="573" t="str">
        <f>data!QQ38</f>
        <v/>
      </c>
      <c r="P106" s="26">
        <f>data!QR38</f>
        <v>3.3412122024666426</v>
      </c>
      <c r="R106" s="109">
        <f>data!$NA$38</f>
        <v>5</v>
      </c>
      <c r="S106" s="110">
        <f>data!$NB$38</f>
        <v>2</v>
      </c>
      <c r="T106" s="6" t="str">
        <f>data!QS38</f>
        <v/>
      </c>
      <c r="U106" s="6" t="str">
        <f>data!QT38</f>
        <v/>
      </c>
      <c r="V106" s="38" t="str">
        <f>data!QU38</f>
        <v/>
      </c>
      <c r="W106" s="96" t="str">
        <f>data!QV38</f>
        <v/>
      </c>
      <c r="X106" s="97" t="str">
        <f>data!QW38</f>
        <v/>
      </c>
      <c r="Y106" s="97" t="str">
        <f>data!QX38</f>
        <v/>
      </c>
      <c r="Z106" s="97" t="str">
        <f>data!QY38</f>
        <v/>
      </c>
      <c r="AA106" s="97" t="str">
        <f>data!QZ38</f>
        <v/>
      </c>
      <c r="AB106" s="459" t="str">
        <f>data!RA38</f>
        <v/>
      </c>
      <c r="AC106" s="457" t="str">
        <f>data!RB38</f>
        <v/>
      </c>
      <c r="AN106" s="432"/>
    </row>
    <row r="107" spans="1:40" ht="15.75" customHeight="1">
      <c r="A107" s="109">
        <f>data!$NA$39</f>
        <v>1</v>
      </c>
      <c r="B107" s="110">
        <f>data!$NB$39</f>
        <v>0</v>
      </c>
      <c r="C107" s="7" t="str">
        <f>data!RC39</f>
        <v/>
      </c>
      <c r="D107" s="6" t="str">
        <f>data!RD39</f>
        <v/>
      </c>
      <c r="E107" s="6" t="str">
        <f>data!RE39</f>
        <v/>
      </c>
      <c r="F107" s="6" t="str">
        <f>data!RF39</f>
        <v/>
      </c>
      <c r="G107" s="6" t="str">
        <f>data!RG39</f>
        <v/>
      </c>
      <c r="H107" s="6" t="str">
        <f>data!RH39</f>
        <v/>
      </c>
      <c r="I107" s="8" t="str">
        <f>data!RI39</f>
        <v/>
      </c>
      <c r="K107" s="109">
        <f>data!$NA$39</f>
        <v>1</v>
      </c>
      <c r="L107" s="110">
        <f>data!$NB$39</f>
        <v>0</v>
      </c>
      <c r="M107" s="573" t="str">
        <f>data!QO39</f>
        <v/>
      </c>
      <c r="N107" s="573" t="str">
        <f>data!QP39</f>
        <v/>
      </c>
      <c r="O107" s="573" t="str">
        <f>data!QQ39</f>
        <v/>
      </c>
      <c r="P107" s="26">
        <f>data!QR39</f>
        <v>3.4190869110946283</v>
      </c>
      <c r="R107" s="109">
        <f>data!$NA$39</f>
        <v>1</v>
      </c>
      <c r="S107" s="110">
        <f>data!$NB$39</f>
        <v>0</v>
      </c>
      <c r="T107" s="6" t="str">
        <f>data!QS39</f>
        <v/>
      </c>
      <c r="U107" s="6" t="str">
        <f>data!QT39</f>
        <v/>
      </c>
      <c r="V107" s="38" t="str">
        <f>data!QU39</f>
        <v/>
      </c>
      <c r="W107" s="96" t="str">
        <f>data!QV39</f>
        <v/>
      </c>
      <c r="X107" s="97" t="str">
        <f>data!QW39</f>
        <v/>
      </c>
      <c r="Y107" s="97" t="str">
        <f>data!QX39</f>
        <v/>
      </c>
      <c r="Z107" s="97" t="str">
        <f>data!QY39</f>
        <v/>
      </c>
      <c r="AA107" s="97" t="str">
        <f>data!QZ39</f>
        <v/>
      </c>
      <c r="AB107" s="459" t="str">
        <f>data!RA39</f>
        <v/>
      </c>
      <c r="AC107" s="457" t="str">
        <f>data!RB39</f>
        <v/>
      </c>
    </row>
    <row r="108" spans="1:40" ht="15.75" customHeight="1">
      <c r="A108" s="109">
        <f>data!$NA$40</f>
        <v>1</v>
      </c>
      <c r="B108" s="110">
        <f>data!$NB$40</f>
        <v>1</v>
      </c>
      <c r="C108" s="7" t="str">
        <f>data!RC40</f>
        <v/>
      </c>
      <c r="D108" s="6" t="str">
        <f>data!RD40</f>
        <v/>
      </c>
      <c r="E108" s="6" t="str">
        <f>data!RE40</f>
        <v/>
      </c>
      <c r="F108" s="6" t="str">
        <f>data!RF40</f>
        <v/>
      </c>
      <c r="G108" s="6" t="str">
        <f>data!RG40</f>
        <v/>
      </c>
      <c r="H108" s="6" t="str">
        <f>data!RH40</f>
        <v/>
      </c>
      <c r="I108" s="8" t="str">
        <f>data!RI40</f>
        <v/>
      </c>
      <c r="K108" s="109">
        <f>data!$NA$40</f>
        <v>1</v>
      </c>
      <c r="L108" s="110">
        <f>data!$NB$40</f>
        <v>1</v>
      </c>
      <c r="M108" s="573" t="str">
        <f>data!QO40</f>
        <v/>
      </c>
      <c r="N108" s="573" t="str">
        <f>data!QP40</f>
        <v/>
      </c>
      <c r="O108" s="573" t="str">
        <f>data!QQ40</f>
        <v/>
      </c>
      <c r="P108" s="26">
        <f>data!QR40</f>
        <v>3.3152956088532957</v>
      </c>
      <c r="R108" s="109">
        <f>data!$NA$40</f>
        <v>1</v>
      </c>
      <c r="S108" s="110">
        <f>data!$NB$40</f>
        <v>1</v>
      </c>
      <c r="T108" s="6" t="str">
        <f>data!QS40</f>
        <v/>
      </c>
      <c r="U108" s="6" t="str">
        <f>data!QT40</f>
        <v/>
      </c>
      <c r="V108" s="38" t="str">
        <f>data!QU40</f>
        <v/>
      </c>
      <c r="W108" s="96" t="str">
        <f>data!QV40</f>
        <v/>
      </c>
      <c r="X108" s="97" t="str">
        <f>data!QW40</f>
        <v/>
      </c>
      <c r="Y108" s="97" t="str">
        <f>data!QX40</f>
        <v/>
      </c>
      <c r="Z108" s="97" t="str">
        <f>data!QY40</f>
        <v/>
      </c>
      <c r="AA108" s="97" t="str">
        <f>data!QZ40</f>
        <v/>
      </c>
      <c r="AB108" s="459" t="str">
        <f>data!RA40</f>
        <v/>
      </c>
      <c r="AC108" s="457" t="str">
        <f>data!RB40</f>
        <v/>
      </c>
    </row>
    <row r="109" spans="1:40" ht="15.75" customHeight="1" thickBot="1">
      <c r="A109" s="114">
        <f>data!$NA$41</f>
        <v>1</v>
      </c>
      <c r="B109" s="463">
        <f>data!$NB$41</f>
        <v>2</v>
      </c>
      <c r="C109" s="35" t="str">
        <f>data!RC41</f>
        <v/>
      </c>
      <c r="D109" s="12" t="str">
        <f>data!RD41</f>
        <v/>
      </c>
      <c r="E109" s="12" t="str">
        <f>data!RE41</f>
        <v/>
      </c>
      <c r="F109" s="12" t="str">
        <f>data!RF41</f>
        <v/>
      </c>
      <c r="G109" s="12" t="str">
        <f>data!RG41</f>
        <v/>
      </c>
      <c r="H109" s="12" t="str">
        <f>data!RH41</f>
        <v/>
      </c>
      <c r="I109" s="27" t="str">
        <f>data!RI41</f>
        <v/>
      </c>
      <c r="K109" s="114">
        <f>data!$NA$41</f>
        <v>1</v>
      </c>
      <c r="L109" s="463">
        <f>data!$NB$41</f>
        <v>2</v>
      </c>
      <c r="M109" s="574" t="str">
        <f>data!QO41</f>
        <v/>
      </c>
      <c r="N109" s="574" t="str">
        <f>data!QP41</f>
        <v/>
      </c>
      <c r="O109" s="574" t="str">
        <f>data!QQ41</f>
        <v/>
      </c>
      <c r="P109" s="34">
        <f>data!QR41</f>
        <v>3.3145812361800413</v>
      </c>
      <c r="R109" s="114">
        <f>data!$NA$41</f>
        <v>1</v>
      </c>
      <c r="S109" s="463">
        <f>data!$NB$41</f>
        <v>2</v>
      </c>
      <c r="T109" s="12" t="str">
        <f>data!QS41</f>
        <v/>
      </c>
      <c r="U109" s="12" t="str">
        <f>data!QT41</f>
        <v/>
      </c>
      <c r="V109" s="79" t="str">
        <f>data!QU41</f>
        <v/>
      </c>
      <c r="W109" s="99" t="str">
        <f>data!QV41</f>
        <v/>
      </c>
      <c r="X109" s="100" t="str">
        <f>data!QW41</f>
        <v/>
      </c>
      <c r="Y109" s="100" t="str">
        <f>data!QX41</f>
        <v/>
      </c>
      <c r="Z109" s="100" t="str">
        <f>data!QY41</f>
        <v/>
      </c>
      <c r="AA109" s="100" t="str">
        <f>data!QZ41</f>
        <v/>
      </c>
      <c r="AB109" s="477" t="str">
        <f>data!RA41</f>
        <v/>
      </c>
      <c r="AC109" s="478" t="str">
        <f>data!RB41</f>
        <v/>
      </c>
    </row>
    <row r="110" spans="1:40" ht="15.75" customHeight="1" thickTop="1" thickBot="1">
      <c r="A110" s="631" t="str">
        <f>data!$NB$42</f>
        <v>CMG 1 total</v>
      </c>
      <c r="B110" s="632"/>
      <c r="C110" s="488" t="str">
        <f>data!RC42</f>
        <v/>
      </c>
      <c r="D110" s="489" t="str">
        <f>data!RD42</f>
        <v/>
      </c>
      <c r="E110" s="489" t="str">
        <f>data!RE42</f>
        <v/>
      </c>
      <c r="F110" s="489" t="str">
        <f>data!RF42</f>
        <v/>
      </c>
      <c r="G110" s="489" t="str">
        <f>data!RG42</f>
        <v/>
      </c>
      <c r="H110" s="489" t="str">
        <f>data!RH42</f>
        <v/>
      </c>
      <c r="I110" s="490" t="str">
        <f>data!RI42</f>
        <v/>
      </c>
      <c r="K110" s="631" t="str">
        <f>data!$NB$42</f>
        <v>CMG 1 total</v>
      </c>
      <c r="L110" s="632"/>
      <c r="M110" s="575" t="str">
        <f>data!QO42</f>
        <v/>
      </c>
      <c r="N110" s="575" t="str">
        <f>data!QP42</f>
        <v/>
      </c>
      <c r="O110" s="575" t="str">
        <f>data!QQ42</f>
        <v/>
      </c>
      <c r="P110" s="487">
        <f>data!QR42</f>
        <v>40.164662528116722</v>
      </c>
      <c r="R110" s="666" t="str">
        <f>data!$NB$42</f>
        <v>CMG 1 total</v>
      </c>
      <c r="S110" s="667"/>
      <c r="T110" s="482" t="str">
        <f>data!QS42</f>
        <v/>
      </c>
      <c r="U110" s="482" t="str">
        <f>data!QT42</f>
        <v/>
      </c>
      <c r="V110" s="483" t="str">
        <f>data!QU42</f>
        <v/>
      </c>
      <c r="W110" s="484" t="str">
        <f>data!QV42</f>
        <v/>
      </c>
      <c r="X110" s="485" t="str">
        <f>data!QW42</f>
        <v/>
      </c>
      <c r="Y110" s="485" t="str">
        <f>data!QX42</f>
        <v/>
      </c>
      <c r="Z110" s="485" t="str">
        <f>data!QY42</f>
        <v/>
      </c>
      <c r="AA110" s="485" t="str">
        <f>data!QZ42</f>
        <v/>
      </c>
      <c r="AB110" s="486" t="str">
        <f>data!RA42</f>
        <v/>
      </c>
      <c r="AC110" s="483" t="str">
        <f>data!RB42</f>
        <v/>
      </c>
    </row>
    <row r="111" spans="1:40" ht="15.75" customHeight="1" thickBot="1">
      <c r="R111" s="668"/>
      <c r="S111" s="669"/>
      <c r="T111" s="803" t="str">
        <f>data!QS43</f>
        <v/>
      </c>
      <c r="U111" s="804"/>
      <c r="V111" s="805"/>
      <c r="W111" s="460" t="str">
        <f>data!QV43</f>
        <v/>
      </c>
      <c r="X111" s="763" t="str">
        <f>data!QW43</f>
        <v/>
      </c>
      <c r="Y111" s="763"/>
      <c r="Z111" s="461" t="str">
        <f>data!QY43</f>
        <v/>
      </c>
      <c r="AA111" s="461" t="str">
        <f>data!QZ43</f>
        <v/>
      </c>
      <c r="AB111" s="462" t="str">
        <f>data!RA43</f>
        <v/>
      </c>
      <c r="AC111" s="458" t="str">
        <f>data!RB43</f>
        <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1 total</v>
      </c>
      <c r="B115" s="589" t="s">
        <v>854</v>
      </c>
      <c r="C115" s="583" t="str">
        <f>data!RK30</f>
        <v/>
      </c>
      <c r="D115" s="584" t="str">
        <f>data!RL30</f>
        <v/>
      </c>
      <c r="E115" s="584" t="str">
        <f>data!RP30</f>
        <v/>
      </c>
      <c r="F115" s="585" t="str">
        <f>data!RQ30</f>
        <v/>
      </c>
      <c r="J115" s="565"/>
      <c r="K115" s="565"/>
      <c r="L115" s="565"/>
      <c r="M115" s="565"/>
      <c r="N115" s="565"/>
      <c r="O115" s="565"/>
      <c r="P115" s="565"/>
    </row>
    <row r="116" spans="1:16" ht="15.75" customHeight="1" thickBot="1">
      <c r="A116" s="655"/>
      <c r="B116" s="590" t="s">
        <v>72</v>
      </c>
      <c r="C116" s="586" t="str">
        <f>data!RK31</f>
        <v/>
      </c>
      <c r="D116" s="587" t="str">
        <f>data!RL31</f>
        <v/>
      </c>
      <c r="E116" s="587" t="str">
        <f>data!RP31</f>
        <v/>
      </c>
      <c r="F116" s="588" t="str">
        <f>data!RQ31</f>
        <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Lv2</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Lv2</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Lv2</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Lv2</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Lv2</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
      </c>
      <c r="N9" s="264" t="s">
        <v>876</v>
      </c>
      <c r="O9" s="265" t="str">
        <f t="shared" si="1"/>
        <v>Lv2</v>
      </c>
      <c r="Q9" s="266" t="s">
        <v>1457</v>
      </c>
      <c r="R9" s="265" t="s">
        <v>1461</v>
      </c>
      <c r="S9" s="437">
        <v>5.0000000000000001E-3</v>
      </c>
      <c r="X9" s="252" t="s">
        <v>1903</v>
      </c>
    </row>
    <row r="10" spans="1:600" ht="17">
      <c r="B10" s="278" t="s">
        <v>866</v>
      </c>
      <c r="C10" s="430">
        <v>512</v>
      </c>
      <c r="D10" s="279" t="s">
        <v>730</v>
      </c>
      <c r="F10" s="270" t="str">
        <f>label!C9</f>
        <v>Process no.</v>
      </c>
      <c r="G10" s="593">
        <v>13</v>
      </c>
      <c r="H10" s="271"/>
      <c r="J10" s="276" t="s">
        <v>1045</v>
      </c>
      <c r="K10" s="277"/>
      <c r="L10" s="239" t="str">
        <f>IF(COUNT(EG30:KK41)=0,"","True")</f>
        <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1</v>
      </c>
      <c r="H11" s="254"/>
      <c r="J11" s="276" t="s">
        <v>1046</v>
      </c>
      <c r="K11" s="277"/>
      <c r="L11" s="239" t="str">
        <f>IF(COUNT(EY30:FP41)=0,"","True")</f>
        <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
      </c>
      <c r="N12" s="264" t="s">
        <v>1685</v>
      </c>
      <c r="O12" s="265"/>
      <c r="Q12" s="812"/>
      <c r="R12" s="265" t="s">
        <v>1458</v>
      </c>
      <c r="S12" s="437">
        <v>0.04</v>
      </c>
    </row>
    <row r="13" spans="1:600" ht="22">
      <c r="B13" s="284" t="s">
        <v>732</v>
      </c>
      <c r="C13" s="247">
        <f>IF(OR(COUNT(AL30:AL41)=0,COUNT(AK30:AK41)=0),"",AL30/AK30*$C$4)</f>
        <v>2172633039.0803494</v>
      </c>
      <c r="D13" s="279" t="s">
        <v>1178</v>
      </c>
      <c r="F13" s="258" t="s">
        <v>168</v>
      </c>
      <c r="G13" s="258" t="s">
        <v>564</v>
      </c>
      <c r="H13" s="254"/>
      <c r="J13" s="276" t="s">
        <v>895</v>
      </c>
      <c r="K13" s="277"/>
      <c r="L13" s="239" t="str">
        <f>IF(COUNT(GI30:GZ41)=0,"","True")</f>
        <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
      </c>
      <c r="N14" s="291"/>
      <c r="Q14" s="811" t="s">
        <v>25</v>
      </c>
      <c r="R14" s="265" t="s">
        <v>1460</v>
      </c>
      <c r="S14" s="437">
        <v>0.2</v>
      </c>
    </row>
    <row r="15" spans="1:600">
      <c r="B15" s="270" t="s">
        <v>734</v>
      </c>
      <c r="C15" s="239">
        <v>12</v>
      </c>
      <c r="D15" s="239" t="s">
        <v>1085</v>
      </c>
      <c r="F15" s="270" t="str">
        <f>label!C13</f>
        <v>CPU frequency (GHz)</v>
      </c>
      <c r="G15" s="239">
        <f>IF(C13="","",C13/10^9)</f>
        <v>2.1726330390803494</v>
      </c>
      <c r="H15" s="254"/>
      <c r="J15" s="289" t="s">
        <v>1055</v>
      </c>
      <c r="K15" s="290"/>
      <c r="L15" s="239" t="str">
        <f>IF(COUNT(HS30:JT41)=0,"","True")</f>
        <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
      </c>
      <c r="Q16" s="266" t="s">
        <v>1572</v>
      </c>
      <c r="R16" s="265" t="s">
        <v>1572</v>
      </c>
      <c r="S16" s="437">
        <v>0.01</v>
      </c>
    </row>
    <row r="17" spans="2:617">
      <c r="B17" s="270" t="s">
        <v>736</v>
      </c>
      <c r="C17" s="239">
        <v>16</v>
      </c>
      <c r="D17" s="239" t="s">
        <v>595</v>
      </c>
      <c r="F17" s="526"/>
      <c r="G17" s="527"/>
      <c r="J17" s="289" t="s">
        <v>899</v>
      </c>
      <c r="K17" s="290"/>
      <c r="L17" s="239" t="str">
        <f>IF(COUNT(IK30:KL41)=0,"","True")</f>
        <v/>
      </c>
      <c r="Q17" s="266" t="s">
        <v>1573</v>
      </c>
      <c r="R17" s="265" t="s">
        <v>1573</v>
      </c>
      <c r="S17" s="437">
        <v>5.0000000000000002E-5</v>
      </c>
    </row>
    <row r="18" spans="2:617">
      <c r="B18" s="292" t="s">
        <v>1439</v>
      </c>
      <c r="C18" s="248" t="s">
        <v>1956</v>
      </c>
      <c r="D18" s="265" t="s">
        <v>1183</v>
      </c>
      <c r="J18" s="289" t="s">
        <v>900</v>
      </c>
      <c r="K18" s="290"/>
      <c r="L18" s="239" t="str">
        <f>IF(COUNT(JU30:KL41)=0,"","True")</f>
        <v/>
      </c>
      <c r="Q18" s="811" t="s">
        <v>1467</v>
      </c>
      <c r="R18" s="265" t="s">
        <v>1468</v>
      </c>
      <c r="S18" s="437">
        <v>0.95</v>
      </c>
      <c r="TV18" s="454"/>
    </row>
    <row r="19" spans="2:617">
      <c r="B19" s="270" t="s">
        <v>1443</v>
      </c>
      <c r="C19" s="431">
        <v>2</v>
      </c>
      <c r="D19" s="265" t="s">
        <v>1444</v>
      </c>
      <c r="J19" s="289" t="s">
        <v>901</v>
      </c>
      <c r="K19" s="290"/>
      <c r="L19" s="239" t="str">
        <f>IF(COUNT(KM30:LD41)=0,"","True")</f>
        <v/>
      </c>
      <c r="Q19" s="812"/>
      <c r="R19" s="265" t="s">
        <v>1469</v>
      </c>
      <c r="S19" s="437">
        <v>1.05</v>
      </c>
    </row>
    <row r="20" spans="2:617">
      <c r="B20" s="270" t="s">
        <v>1442</v>
      </c>
      <c r="C20" s="431">
        <v>1</v>
      </c>
      <c r="D20" s="265" t="s">
        <v>1445</v>
      </c>
      <c r="J20" s="289" t="s">
        <v>902</v>
      </c>
      <c r="K20" s="290"/>
      <c r="L20" s="239" t="str">
        <f>IF(COUNT(LE30:LT41)=0,"","True")</f>
        <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Lv2</v>
      </c>
      <c r="NE25" s="133"/>
      <c r="NF25" s="134"/>
      <c r="NG25" s="134"/>
      <c r="NH25" s="134"/>
      <c r="NI25" s="134"/>
      <c r="NJ25" s="134"/>
      <c r="NK25" s="134"/>
      <c r="NL25" s="134"/>
      <c r="NM25" s="134"/>
      <c r="NN25" s="134"/>
      <c r="NO25" s="135" t="str">
        <f>label!C40</f>
        <v>Cycle Accounting</v>
      </c>
      <c r="NP25" s="135"/>
      <c r="NQ25" s="132" t="str">
        <f>IF($L$20="True","Lv4",IF($L$14="True","Lv3",IF($L$8="True","Lv2","")))</f>
        <v>Lv2</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Lv2</v>
      </c>
      <c r="OL25" s="133"/>
      <c r="OM25" s="136"/>
      <c r="ON25" s="134"/>
      <c r="OO25" s="134"/>
      <c r="OP25" s="134"/>
      <c r="OQ25" s="134"/>
      <c r="OR25" s="134"/>
      <c r="OS25" s="134"/>
      <c r="OT25" s="134"/>
      <c r="OU25" s="134"/>
      <c r="OV25" s="134"/>
      <c r="OW25" s="134"/>
      <c r="OX25" s="137" t="str">
        <f>label!C98</f>
        <v>Cache</v>
      </c>
      <c r="OY25" s="132" t="str">
        <f>IF($L$20="True","Lv4",IF($L$14="True","Lv3",IF($L$8="True","Lv2","")))</f>
        <v>Lv2</v>
      </c>
      <c r="OZ25" s="136"/>
      <c r="PA25" s="138"/>
      <c r="PB25" s="134"/>
      <c r="PC25" s="134"/>
      <c r="PD25" s="134"/>
      <c r="PE25" s="134"/>
      <c r="PF25" s="134"/>
      <c r="PG25" s="134"/>
      <c r="PH25" s="134"/>
      <c r="PI25" s="134"/>
      <c r="PJ25" s="134"/>
      <c r="PK25" s="134"/>
      <c r="PL25" s="139" t="str">
        <f>label!C121</f>
        <v>Instruction</v>
      </c>
      <c r="PM25" s="132" t="str">
        <f>IF($L$20="True","Lv4",IF($L$14="True","Lv3",IF($L$8="True","Lv2","")))</f>
        <v>Lv2</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Memory access wait &amp;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SIMD load instruction except gather load</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SIMD store instruction except scatter store</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c r="DP29" s="237"/>
      <c r="DQ29" s="237"/>
      <c r="DR29" s="237"/>
      <c r="DS29" s="237"/>
      <c r="DT29" s="237"/>
      <c r="DU29" s="237"/>
      <c r="DV29" s="237"/>
      <c r="DW29" s="237"/>
      <c r="DX29" s="237"/>
      <c r="DY29" s="237"/>
      <c r="DZ29" s="237"/>
      <c r="EA29" s="237"/>
      <c r="EB29" s="237"/>
      <c r="EC29" s="237"/>
      <c r="ED29" s="237"/>
      <c r="EE29" s="237"/>
      <c r="EF29" s="237"/>
      <c r="EG29" s="236"/>
      <c r="EH29" s="237"/>
      <c r="EI29" s="237"/>
      <c r="EJ29" s="237"/>
      <c r="EK29" s="237"/>
      <c r="EL29" s="237"/>
      <c r="EM29" s="237"/>
      <c r="EN29" s="237"/>
      <c r="EO29" s="237"/>
      <c r="EP29" s="237"/>
      <c r="EQ29" s="237"/>
      <c r="ER29" s="237"/>
      <c r="ES29" s="237"/>
      <c r="ET29" s="237"/>
      <c r="EU29" s="237"/>
      <c r="EV29" s="237"/>
      <c r="EW29" s="237"/>
      <c r="EX29" s="237"/>
      <c r="EY29" s="236"/>
      <c r="EZ29" s="237"/>
      <c r="FA29" s="237"/>
      <c r="FB29" s="237"/>
      <c r="FC29" s="237"/>
      <c r="FD29" s="237"/>
      <c r="FE29" s="237"/>
      <c r="FF29" s="237"/>
      <c r="FG29" s="237"/>
      <c r="FH29" s="237"/>
      <c r="FI29" s="237"/>
      <c r="FJ29" s="237"/>
      <c r="FK29" s="237"/>
      <c r="FL29" s="237"/>
      <c r="FM29" s="237"/>
      <c r="FN29" s="237"/>
      <c r="FO29" s="236"/>
      <c r="FP29" s="236"/>
      <c r="FQ29" s="236"/>
      <c r="FR29" s="237"/>
      <c r="FS29" s="237"/>
      <c r="FT29" s="237"/>
      <c r="FU29" s="237"/>
      <c r="FV29" s="237"/>
      <c r="FW29" s="237"/>
      <c r="FX29" s="237"/>
      <c r="FY29" s="237"/>
      <c r="FZ29" s="237"/>
      <c r="GA29" s="237"/>
      <c r="GB29" s="237"/>
      <c r="GC29" s="237"/>
      <c r="GD29" s="237"/>
      <c r="GE29" s="237"/>
      <c r="GF29" s="237"/>
      <c r="GG29" s="237"/>
      <c r="GH29" s="237"/>
      <c r="GI29" s="236"/>
      <c r="GJ29" s="237"/>
      <c r="GK29" s="237"/>
      <c r="GL29" s="237"/>
      <c r="GM29" s="237"/>
      <c r="GN29" s="237"/>
      <c r="GO29" s="237"/>
      <c r="GP29" s="237"/>
      <c r="GQ29" s="237"/>
      <c r="GR29" s="237"/>
      <c r="GS29" s="237"/>
      <c r="GT29" s="237"/>
      <c r="GU29" s="237"/>
      <c r="GV29" s="237"/>
      <c r="GW29" s="237"/>
      <c r="GX29" s="237"/>
      <c r="GY29" s="237"/>
      <c r="GZ29" s="237"/>
      <c r="HA29" s="236"/>
      <c r="HB29" s="237"/>
      <c r="HC29" s="237"/>
      <c r="HD29" s="237"/>
      <c r="HE29" s="237"/>
      <c r="HF29" s="237"/>
      <c r="HG29" s="237"/>
      <c r="HH29" s="237"/>
      <c r="HI29" s="237"/>
      <c r="HJ29" s="237"/>
      <c r="HK29" s="237"/>
      <c r="HL29" s="237"/>
      <c r="HM29" s="237"/>
      <c r="HN29" s="237"/>
      <c r="HO29" s="237"/>
      <c r="HP29" s="237"/>
      <c r="HQ29" s="236"/>
      <c r="HR29" s="237"/>
      <c r="HS29" s="236"/>
      <c r="HT29" s="237"/>
      <c r="HU29" s="237"/>
      <c r="HV29" s="237"/>
      <c r="HW29" s="237"/>
      <c r="HX29" s="237"/>
      <c r="HY29" s="237"/>
      <c r="HZ29" s="237"/>
      <c r="IA29" s="237"/>
      <c r="IB29" s="237"/>
      <c r="IC29" s="237"/>
      <c r="ID29" s="237"/>
      <c r="IE29" s="237"/>
      <c r="IF29" s="237"/>
      <c r="IG29" s="237"/>
      <c r="IH29" s="237"/>
      <c r="II29" s="237"/>
      <c r="IJ29" s="237"/>
      <c r="IK29" s="236"/>
      <c r="IL29" s="237"/>
      <c r="IM29" s="237"/>
      <c r="IN29" s="237"/>
      <c r="IO29" s="237"/>
      <c r="IP29" s="237"/>
      <c r="IQ29" s="237"/>
      <c r="IR29" s="237"/>
      <c r="IS29" s="237"/>
      <c r="IT29" s="237"/>
      <c r="IU29" s="237"/>
      <c r="IV29" s="237"/>
      <c r="IW29" s="237"/>
      <c r="IX29" s="237"/>
      <c r="IY29" s="237"/>
      <c r="IZ29" s="237"/>
      <c r="JA29" s="237"/>
      <c r="JB29" s="237"/>
      <c r="JC29" s="236"/>
      <c r="JD29" s="237"/>
      <c r="JE29" s="237"/>
      <c r="JF29" s="237"/>
      <c r="JG29" s="237"/>
      <c r="JH29" s="237"/>
      <c r="JI29" s="237"/>
      <c r="JJ29" s="237"/>
      <c r="JK29" s="237"/>
      <c r="JL29" s="237"/>
      <c r="JM29" s="237"/>
      <c r="JN29" s="237"/>
      <c r="JO29" s="237"/>
      <c r="JP29" s="237"/>
      <c r="JQ29" s="237"/>
      <c r="JR29" s="237"/>
      <c r="JS29" s="237"/>
      <c r="JT29" s="237"/>
      <c r="JU29" s="236"/>
      <c r="JV29" s="237"/>
      <c r="JW29" s="237"/>
      <c r="JX29" s="237"/>
      <c r="JY29" s="237"/>
      <c r="JZ29" s="237"/>
      <c r="KA29" s="237"/>
      <c r="KB29" s="237"/>
      <c r="KC29" s="237"/>
      <c r="KD29" s="237"/>
      <c r="KE29" s="237"/>
      <c r="KF29" s="237"/>
      <c r="KG29" s="237"/>
      <c r="KH29" s="237"/>
      <c r="KI29" s="237"/>
      <c r="KJ29" s="237"/>
      <c r="KK29" s="237"/>
      <c r="KL29" s="237"/>
      <c r="KM29" s="236"/>
      <c r="KN29" s="237"/>
      <c r="KO29" s="237"/>
      <c r="KP29" s="237"/>
      <c r="KQ29" s="237"/>
      <c r="KR29" s="237"/>
      <c r="KS29" s="237"/>
      <c r="KT29" s="237"/>
      <c r="KU29" s="237"/>
      <c r="KV29" s="237"/>
      <c r="KW29" s="237"/>
      <c r="KX29" s="237"/>
      <c r="KY29" s="237"/>
      <c r="KZ29" s="237"/>
      <c r="LA29" s="237"/>
      <c r="LB29" s="237"/>
      <c r="LC29" s="237"/>
      <c r="LD29" s="237"/>
      <c r="LE29" s="236"/>
      <c r="LF29" s="237"/>
      <c r="LG29" s="237"/>
      <c r="LH29" s="237"/>
      <c r="LI29" s="237"/>
      <c r="LJ29" s="237"/>
      <c r="LK29" s="237"/>
      <c r="LL29" s="237"/>
      <c r="LM29" s="237"/>
      <c r="LN29" s="237"/>
      <c r="LO29" s="237"/>
      <c r="LP29" s="237"/>
      <c r="LQ29" s="237"/>
      <c r="LR29" s="237"/>
      <c r="LS29" s="237"/>
      <c r="LT29" s="237"/>
      <c r="LU29" s="238"/>
      <c r="LV29" s="238"/>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13</v>
      </c>
      <c r="AG30" s="430">
        <v>0</v>
      </c>
      <c r="AH30" s="430" t="s">
        <v>1975</v>
      </c>
      <c r="AI30" s="430">
        <v>1</v>
      </c>
      <c r="AJ30" s="430">
        <v>3</v>
      </c>
      <c r="AK30" s="594">
        <v>7325216</v>
      </c>
      <c r="AL30" s="594">
        <v>159150063</v>
      </c>
      <c r="AM30" s="430">
        <v>67416008</v>
      </c>
      <c r="AN30" s="430">
        <v>37183</v>
      </c>
      <c r="AO30" s="430">
        <v>1616895</v>
      </c>
      <c r="AP30" s="430">
        <v>649613</v>
      </c>
      <c r="AQ30" s="595">
        <v>14784</v>
      </c>
      <c r="AR30" s="595">
        <v>18737</v>
      </c>
      <c r="AS30" s="594">
        <v>78401367</v>
      </c>
      <c r="AT30" s="594">
        <v>38697046</v>
      </c>
      <c r="AU30" s="430" t="s">
        <v>1974</v>
      </c>
      <c r="AV30" s="430" t="s">
        <v>1964</v>
      </c>
      <c r="AW30" s="430">
        <v>0</v>
      </c>
      <c r="AX30" s="430">
        <v>1</v>
      </c>
      <c r="AY30" s="430">
        <v>0</v>
      </c>
      <c r="AZ30" s="430" t="s">
        <v>1975</v>
      </c>
      <c r="BA30" s="430">
        <v>1</v>
      </c>
      <c r="BB30" s="430">
        <v>3</v>
      </c>
      <c r="BC30" s="430">
        <v>7279168</v>
      </c>
      <c r="BD30" s="430">
        <v>158044636</v>
      </c>
      <c r="BE30" s="430">
        <v>130484656</v>
      </c>
      <c r="BF30" s="595">
        <v>7368346</v>
      </c>
      <c r="BG30" s="430">
        <v>62108607</v>
      </c>
      <c r="BH30" s="595">
        <v>1722968</v>
      </c>
      <c r="BI30" s="430">
        <v>37960519</v>
      </c>
      <c r="BJ30" s="430">
        <v>27315976</v>
      </c>
      <c r="BK30" s="430">
        <v>0</v>
      </c>
      <c r="BL30" s="430">
        <v>2126339</v>
      </c>
      <c r="BM30" s="430" t="s">
        <v>1974</v>
      </c>
      <c r="BN30" s="430" t="s">
        <v>1964</v>
      </c>
      <c r="BO30" s="430">
        <v>0</v>
      </c>
      <c r="BP30" s="430">
        <v>1</v>
      </c>
      <c r="BQ30" s="430">
        <v>0</v>
      </c>
      <c r="BR30" s="430" t="s">
        <v>1975</v>
      </c>
      <c r="BS30" s="430">
        <v>1</v>
      </c>
      <c r="BT30" s="430">
        <v>3</v>
      </c>
      <c r="BU30" s="430">
        <v>7255008</v>
      </c>
      <c r="BV30" s="430">
        <v>157731979</v>
      </c>
      <c r="BW30" s="594">
        <v>55561765</v>
      </c>
      <c r="BX30" s="594">
        <v>51527640</v>
      </c>
      <c r="BY30" s="430">
        <v>118531557</v>
      </c>
      <c r="BZ30" s="430">
        <v>875436</v>
      </c>
      <c r="CA30" s="430">
        <v>16536093</v>
      </c>
      <c r="CB30" s="430">
        <v>229448742</v>
      </c>
      <c r="CC30" s="430">
        <v>15397690</v>
      </c>
      <c r="CD30" s="430">
        <v>241807048</v>
      </c>
      <c r="CE30" s="430" t="s">
        <v>1974</v>
      </c>
      <c r="CF30" s="430" t="s">
        <v>1964</v>
      </c>
      <c r="CG30" s="430">
        <v>0</v>
      </c>
      <c r="CH30" s="430">
        <v>1</v>
      </c>
      <c r="CI30" s="430">
        <v>0</v>
      </c>
      <c r="CJ30" s="430" t="s">
        <v>1975</v>
      </c>
      <c r="CK30" s="430">
        <v>1</v>
      </c>
      <c r="CL30" s="430">
        <v>3</v>
      </c>
      <c r="CM30" s="430">
        <v>7239168</v>
      </c>
      <c r="CN30" s="430">
        <v>157041512</v>
      </c>
      <c r="CO30" s="430">
        <v>13564</v>
      </c>
      <c r="CP30" s="430">
        <v>2274898</v>
      </c>
      <c r="CQ30" s="430">
        <v>1575022</v>
      </c>
      <c r="CR30" s="430">
        <v>1612666</v>
      </c>
      <c r="CS30" s="430">
        <v>127077</v>
      </c>
      <c r="CT30" s="430">
        <v>0</v>
      </c>
      <c r="CU30" s="430">
        <v>0</v>
      </c>
      <c r="CV30" s="430">
        <v>17571</v>
      </c>
      <c r="CW30" s="430" t="s">
        <v>1974</v>
      </c>
      <c r="CX30" s="430" t="s">
        <v>1964</v>
      </c>
      <c r="CY30" s="430">
        <v>0</v>
      </c>
      <c r="CZ30" s="430">
        <v>1</v>
      </c>
      <c r="DA30" s="430">
        <v>0</v>
      </c>
      <c r="DB30" s="430" t="s">
        <v>1975</v>
      </c>
      <c r="DC30" s="430">
        <v>1</v>
      </c>
      <c r="DD30" s="430">
        <v>3</v>
      </c>
      <c r="DE30" s="430">
        <v>7237632</v>
      </c>
      <c r="DF30" s="430">
        <v>157091039</v>
      </c>
      <c r="DG30" s="430">
        <v>25806399</v>
      </c>
      <c r="DH30" s="430">
        <v>10014928</v>
      </c>
      <c r="DI30" s="430">
        <v>796268</v>
      </c>
      <c r="DJ30" s="430">
        <v>11771520</v>
      </c>
      <c r="DK30" s="430">
        <v>2370897</v>
      </c>
      <c r="DL30" s="430">
        <v>6900656</v>
      </c>
      <c r="DM30" s="430">
        <v>1946165</v>
      </c>
      <c r="DN30" s="430">
        <v>10014475</v>
      </c>
      <c r="DO30" s="595"/>
      <c r="DP30" s="595"/>
      <c r="DQ30" s="595"/>
      <c r="DR30" s="595"/>
      <c r="DS30" s="595"/>
      <c r="DT30" s="595"/>
      <c r="DU30" s="595"/>
      <c r="DV30" s="595"/>
      <c r="DW30" s="595"/>
      <c r="DX30" s="595"/>
      <c r="DY30" s="595"/>
      <c r="DZ30" s="595"/>
      <c r="EA30" s="595"/>
      <c r="EB30" s="430"/>
      <c r="EC30" s="595"/>
      <c r="ED30" s="595"/>
      <c r="EE30" s="595"/>
      <c r="EF30" s="595"/>
      <c r="EG30" s="595"/>
      <c r="EH30" s="595"/>
      <c r="EI30" s="595"/>
      <c r="EJ30" s="595"/>
      <c r="EK30" s="595"/>
      <c r="EL30" s="595"/>
      <c r="EM30" s="595"/>
      <c r="EN30" s="595"/>
      <c r="EO30" s="595"/>
      <c r="EP30" s="595"/>
      <c r="EQ30" s="595"/>
      <c r="ER30" s="595"/>
      <c r="ES30" s="430"/>
      <c r="ET30" s="595"/>
      <c r="EU30" s="595"/>
      <c r="EV30" s="595"/>
      <c r="EW30" s="595"/>
      <c r="EX30" s="595"/>
      <c r="EY30" s="595"/>
      <c r="EZ30" s="595"/>
      <c r="FA30" s="595"/>
      <c r="FB30" s="595"/>
      <c r="FC30" s="595"/>
      <c r="FD30" s="595"/>
      <c r="FE30" s="595"/>
      <c r="FF30" s="595"/>
      <c r="FG30" s="595"/>
      <c r="FH30" s="595"/>
      <c r="FI30" s="595"/>
      <c r="FJ30" s="595"/>
      <c r="FK30" s="595"/>
      <c r="FL30" s="595"/>
      <c r="FM30" s="595"/>
      <c r="FN30" s="595"/>
      <c r="FO30" s="430"/>
      <c r="FP30" s="430"/>
      <c r="FQ30" s="595"/>
      <c r="FR30" s="595"/>
      <c r="FS30" s="595"/>
      <c r="FT30" s="595"/>
      <c r="FU30" s="595"/>
      <c r="FV30" s="595"/>
      <c r="FW30" s="595"/>
      <c r="FX30" s="595"/>
      <c r="FY30" s="595"/>
      <c r="FZ30" s="595"/>
      <c r="GA30" s="595"/>
      <c r="GB30" s="595"/>
      <c r="GC30" s="595"/>
      <c r="GD30" s="595"/>
      <c r="GE30" s="595"/>
      <c r="GF30" s="595"/>
      <c r="GG30" s="595"/>
      <c r="GH30" s="595"/>
      <c r="GI30" s="595"/>
      <c r="GJ30" s="595"/>
      <c r="GK30" s="595"/>
      <c r="GL30" s="595"/>
      <c r="GM30" s="595"/>
      <c r="GN30" s="595"/>
      <c r="GO30" s="595"/>
      <c r="GP30" s="595"/>
      <c r="GQ30" s="595"/>
      <c r="GR30" s="595"/>
      <c r="GS30" s="595"/>
      <c r="GT30" s="595"/>
      <c r="GU30" s="595"/>
      <c r="GV30" s="595"/>
      <c r="GW30" s="595"/>
      <c r="GX30" s="595"/>
      <c r="GY30" s="595"/>
      <c r="GZ30" s="595"/>
      <c r="HA30" s="595"/>
      <c r="HB30" s="595"/>
      <c r="HC30" s="595"/>
      <c r="HD30" s="595"/>
      <c r="HE30" s="595"/>
      <c r="HF30" s="595"/>
      <c r="HG30" s="595"/>
      <c r="HH30" s="595"/>
      <c r="HI30" s="595"/>
      <c r="HJ30" s="595"/>
      <c r="HK30" s="595"/>
      <c r="HL30" s="595"/>
      <c r="HM30" s="595"/>
      <c r="HN30" s="595"/>
      <c r="HO30" s="595"/>
      <c r="HP30" s="595"/>
      <c r="HQ30" s="595"/>
      <c r="HR30" s="595"/>
      <c r="HS30" s="595"/>
      <c r="HT30" s="595"/>
      <c r="HU30" s="595"/>
      <c r="HV30" s="595"/>
      <c r="HW30" s="595"/>
      <c r="HX30" s="595"/>
      <c r="HY30" s="595"/>
      <c r="HZ30" s="595"/>
      <c r="IA30" s="595"/>
      <c r="IB30" s="595"/>
      <c r="IC30" s="595"/>
      <c r="ID30" s="595"/>
      <c r="IE30" s="595"/>
      <c r="IF30" s="595"/>
      <c r="IG30" s="595"/>
      <c r="IH30" s="595"/>
      <c r="II30" s="595"/>
      <c r="IJ30" s="595"/>
      <c r="IK30" s="595"/>
      <c r="IL30" s="595"/>
      <c r="IM30" s="595"/>
      <c r="IN30" s="595"/>
      <c r="IO30" s="595"/>
      <c r="IP30" s="595"/>
      <c r="IQ30" s="595"/>
      <c r="IR30" s="595"/>
      <c r="IS30" s="595"/>
      <c r="IT30" s="595"/>
      <c r="IU30" s="595"/>
      <c r="IV30" s="595"/>
      <c r="IW30" s="595"/>
      <c r="IX30" s="595"/>
      <c r="IY30" s="595"/>
      <c r="IZ30" s="595"/>
      <c r="JA30" s="595"/>
      <c r="JB30" s="595"/>
      <c r="JC30" s="595"/>
      <c r="JD30" s="595"/>
      <c r="JE30" s="595"/>
      <c r="JF30" s="595"/>
      <c r="JG30" s="595"/>
      <c r="JH30" s="595"/>
      <c r="JI30" s="595"/>
      <c r="JJ30" s="595"/>
      <c r="JK30" s="595"/>
      <c r="JL30" s="595"/>
      <c r="JM30" s="595"/>
      <c r="JN30" s="595"/>
      <c r="JO30" s="595"/>
      <c r="JP30" s="595"/>
      <c r="JQ30" s="595"/>
      <c r="JR30" s="595"/>
      <c r="JS30" s="595"/>
      <c r="JT30" s="595"/>
      <c r="JU30" s="595"/>
      <c r="JV30" s="595"/>
      <c r="JW30" s="595"/>
      <c r="JX30" s="595"/>
      <c r="JY30" s="595"/>
      <c r="JZ30" s="595"/>
      <c r="KA30" s="595"/>
      <c r="KB30" s="595"/>
      <c r="KC30" s="595"/>
      <c r="KD30" s="595"/>
      <c r="KE30" s="595"/>
      <c r="KF30" s="595"/>
      <c r="KG30" s="595"/>
      <c r="KH30" s="595"/>
      <c r="KI30" s="595"/>
      <c r="KJ30" s="595"/>
      <c r="KK30" s="595"/>
      <c r="KL30" s="595"/>
      <c r="KM30" s="595"/>
      <c r="KN30" s="595"/>
      <c r="KO30" s="595"/>
      <c r="KP30" s="595"/>
      <c r="KQ30" s="595"/>
      <c r="KR30" s="595"/>
      <c r="KS30" s="595"/>
      <c r="KT30" s="595"/>
      <c r="KU30" s="595"/>
      <c r="KV30" s="595"/>
      <c r="KW30" s="595"/>
      <c r="KX30" s="595"/>
      <c r="KY30" s="595"/>
      <c r="KZ30" s="595"/>
      <c r="LA30" s="595"/>
      <c r="LB30" s="595"/>
      <c r="LC30" s="595"/>
      <c r="LD30" s="595"/>
      <c r="LE30" s="595"/>
      <c r="LF30" s="595"/>
      <c r="LG30" s="595"/>
      <c r="LH30" s="595"/>
      <c r="LI30" s="595"/>
      <c r="LJ30" s="595"/>
      <c r="LK30" s="595"/>
      <c r="LL30" s="595"/>
      <c r="LM30" s="595"/>
      <c r="LN30" s="595"/>
      <c r="LO30" s="595"/>
      <c r="LP30" s="595"/>
      <c r="LQ30" s="595"/>
      <c r="LR30" s="595"/>
      <c r="LS30" s="595"/>
      <c r="LT30" s="595"/>
      <c r="LU30" s="595"/>
      <c r="LV30" s="595"/>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13</v>
      </c>
      <c r="NB30" s="424">
        <f>IF($AG30="","",$AG30)</f>
        <v>0</v>
      </c>
      <c r="NC30" s="207">
        <f>IF(OR($AK30="",$C$4=""),"",IF($C$4=0,0,$AK30/$C$4))</f>
        <v>7.3252159999999997E-2</v>
      </c>
      <c r="ND30" s="208">
        <f>IF(OR($NI30="",$NC30=""),"",IF($NC30=0,0,$NI30/10^9/$NC30))</f>
        <v>3.6818192801413638</v>
      </c>
      <c r="NE30" s="209">
        <f t="shared" ref="NE30:NE41" si="15">IF(OR($ND30="",$C$13="",$C$16=""),"",IF($C$13=0,0,$ND30/($C$13*$C$16/10^9)))</f>
        <v>5.2957333537153546E-2</v>
      </c>
      <c r="NF30" s="208">
        <f t="shared" ref="NF30:NF41" si="16">IF(OR($AO30="",$AQ30="",$AR30="",$AP30="",$C$7="",$NC30=""),"",IF($NC30=0,0,(($AO30-$AQ30-$AR30+$AP30)*$C$7/10^9)/$NC30))</f>
        <v>7.8037927072730691</v>
      </c>
      <c r="NG30" s="210"/>
      <c r="NH30" s="211">
        <f>IF($AS30="","",$AS30)</f>
        <v>78401367</v>
      </c>
      <c r="NI30" s="208">
        <f t="shared" ref="NI30:NI41" si="17">IF(OR($AM30="",$C$11="",$AN30=""),"",$AM30*$C$11+$AN30)</f>
        <v>269701215</v>
      </c>
      <c r="NJ30" s="212">
        <f>IF(OR($AT30="",$AS30=""),"",IF($AS30=0,0,$AT30/$AS30))</f>
        <v>0.49357616430335965</v>
      </c>
      <c r="NK30" s="213">
        <f>IF(OR($AM30="",$C$11="",$AN30=""),"",IF($AM30*$C$11+$AN30=0,0,$AM30*$C$11/($AM30*$C$11+$AN30)))</f>
        <v>0.99986213261961021</v>
      </c>
      <c r="NL30" s="214">
        <f t="shared" ref="NL30:NL41" si="18">IF(OR($CB30="",$CD30="",$CA30="",$CC30=""),"",IF(($CA30+$CC30)=0,0,
GuardLimitUpper(
  ($CB30+$CD30) / ( ($CA30+$CC30)*16),
  data_GuardLimitFlag,
  1)
 ))</f>
        <v>0.92233002507094131</v>
      </c>
      <c r="NM30" s="208">
        <f>IF(OR($AS30="",$AL30=""),"",IF($AL30=0,0,$AS30/$AL30))</f>
        <v>0.49262542233489409</v>
      </c>
      <c r="NN30" s="208">
        <f t="shared" ref="NN30:NN41" si="19">IF(OR($AS30="",$NC30=""),"",IF($NC30=0,0,$AS30/10^9/$NC30))</f>
        <v>1.0702942684557015</v>
      </c>
      <c r="NO30" s="215">
        <f t="shared" ref="NO30:NO41" si="20">IF($O$5="Lv2",IF(OR($BH30="",$BD30="",$NC30=""),"",IF($BD30=0,0,$BH30/$BD30*$NC30)),
                             IF(OR($BH30="",$EE30="",$BD30="",$NC30=""),"",IF($BD30=0,0,
GuardLimitLower(
  ($BH30-$EE30)/$BD30*$NC30,
  data_GuardLimitFlag,
  0)
)))</f>
        <v>7.9857900150992782E-4</v>
      </c>
      <c r="NP30" s="216" t="str">
        <f>IF($O$5="Lv2","",IF(OR($EE30="",$BD30="",$NC30=""),"",IF($BD30=0,0,($EE30)/$BD30*$NC30)))</f>
        <v/>
      </c>
      <c r="NQ30" s="215" t="str">
        <f>IF($O$5="Lv2","",IF(OR($EC30="",$BD30="",$NC30=""),"",IF($BD30=0,0,$EC30/$BD30*$NC30)))</f>
        <v/>
      </c>
      <c r="NR30" s="215" t="str">
        <f>IF($O$5="Lv2","",IF(OR($EB30="",$EC30="",$BD30="",$NC30=""),"",IF($BD30=0,0,($EB30-$EC30)/$BD30*$NC30)))</f>
        <v/>
      </c>
      <c r="NS30" s="215" t="str">
        <f t="shared" ref="NS30:NS41" si="21">IF($O$5="Lv2","",IF(OR($EA30="",$BD30="",$NC30=""),"",IF($BD30=0,0,$EA30/$BD30*$NC30)))</f>
        <v/>
      </c>
      <c r="NT30" s="215" t="str">
        <f t="shared" ref="NT30:NT41" si="22">IF($O$5="Lv2","",IF(OR($DY30="",$EC30="",$EA30="",$ED30="",$BD30="",$NC30=""),"",IF($BD30=0,0,($DY30-($EC30+$EA30+$ED30))/$BD30*$NC30)))</f>
        <v/>
      </c>
      <c r="NU30" s="215">
        <f t="shared" ref="NU30:NU41" si="23">IF($O$5="Lv2",  IF(OR($BG30="",$BH30="",$BD30="",$NC30=""),"",IF($BD30=0,0,($BG30-$BH30)/$BD30*$NC30)),
                               IF(OR($DZ30="",$EA30="",$BD30="",$NC30=""),"",IF($BD30=0,0,($DZ30-$EA30)/$BD30*$NC30)))</f>
        <v>2.7988159558482197E-2</v>
      </c>
      <c r="NV30" s="215" t="str">
        <f>IF($O$5="Lv2","",IF(OR($BG30="",$EB30="",$DZ30="",$BH30="",$NT30="",$BD30="",$NC30=""),"",IF(OR($BD30=0,$NC30=0),0,
GuardLimitLower(
  ($BG30-($EB30+$DZ30+$BH30+$NT30*$BD30/$NC30))/$BD30*$NC30,
  data_GuardLimitFlag,
  0)
)))</f>
        <v/>
      </c>
      <c r="NW30" s="215" t="str">
        <f t="shared" ref="NW30:NW41" si="24">IF($O$5="Lv2","",IF(OR($BI30="",$EF30="",$BD30="",$NC30=""),"",IF($BD30=0,0,
GuardLimitLower(
  ($BI30-$EF30)/$BD30*$NC30,
  data_GuardLimitFlag,
  0)
)))</f>
        <v/>
      </c>
      <c r="NX30" s="215">
        <f t="shared" ref="NX30:NX41" si="25">IF($O$5="Lv2",  IF(OR($BI30="",$BD30="",$NC30=""),"",IF($BD30=0,0,($BI30)/$BD30*$NC30)),
                               IF(OR($EF30="",$BD30="",$NC30=""),"",IF($BD30=0,0,($EF30)/$BD30*$NC30)))</f>
        <v>1.7594333359539263E-2</v>
      </c>
      <c r="NY30" s="215" t="str">
        <f t="shared" ref="NY30:NY41" si="26">IF($O$5="Lv2","",IF(OR($ET30="",$BD30="",$NC30=""),"",IF($BD30=0,0,($ET30/$BD30*$NC30))))</f>
        <v/>
      </c>
      <c r="NZ30" s="215">
        <f t="shared" ref="NZ30:NZ41" si="27">IF($O$5="Lv2",  IF(OR($BE30="",$BG30="",$BI30="",$BJ30="",$BD30="",$NC30=""),"",                 IF($BD30=0,0,($BE30-($BG30+$BI30+$BJ30))/$BD30*$NC30)),
                               IF(OR($BE30="",$BG30="",$BI30="",$BJ30="",$ET30="",$BD30="",$NC30=""),"",IF($BD30=0,0,
GuardLimitLower(
  ($BE30-($BG30+$BI30+$BJ30+$ET30))/$BD30*$NC30,
  data_GuardLimitFlag,
  0)
)))</f>
        <v>1.4366132966172924E-3</v>
      </c>
      <c r="OA30" s="215">
        <f t="shared" ref="OA30:OA41" si="28">IF(OR($BK30="",$BD30="",$NC30=""),"",IF($BD30=0,0,$BK30/$BD30*$NC30))</f>
        <v>0</v>
      </c>
      <c r="OB30" s="215">
        <f t="shared" ref="OB30:OB41" si="29">IF(OR($BJ30="",$BK30="",$BL30="",$BD30="",$NC30=""),"",IF($BD30=0,0,($BJ30-($BK30+$BL30))/$BD30*$NC30))</f>
        <v>1.1675153086916029E-2</v>
      </c>
      <c r="OC30" s="215">
        <f t="shared" ref="OC30:OC41" si="30">IF(OR($BL30="",$BD30="",$NC30=""),"",IF($BD30=0,0,$BL30/$BD30*$NC30))</f>
        <v>9.8553755815059723E-4</v>
      </c>
      <c r="OD30" s="215">
        <f t="shared" ref="OD30:OD41" si="31">IF(OR($BF30="",$BD30="",$NC30=""),"",IF($BD30=0,0,$BF30/$BD30*$NC30))</f>
        <v>3.415157096045702E-3</v>
      </c>
      <c r="OE30" s="215" t="str">
        <f t="shared" ref="OE30:OE41" si="32">IF($O$5="Lv2","",IF(OR($EQ30="",$BD30="",$NC30=""),"",IF($BD30=0,0,$EQ30/$BD30*$NC30)))</f>
        <v/>
      </c>
      <c r="OF30" s="215" t="str">
        <f t="shared" ref="OF30:OF41" si="33">IF($O$5="Lv2","",IF(OR($ER30="",$BD30="",$NC30=""),"",IF($BD30=0,0,$ER30/$BD30*$NC30)))</f>
        <v/>
      </c>
      <c r="OG30" s="215" t="str">
        <f t="shared" ref="OG30:OG41" si="34">IF($O$5="Lv2","",IF(OR($ES30="",$BD30="",$NC30=""),"",IF($BD30=0,0,$ES30/$BD30*$NC30)))</f>
        <v/>
      </c>
      <c r="OH30" s="215">
        <f t="shared" ref="OH30:OH41" si="35">IF($O$5="Lv2",  IF(OR($BD30="",$BE30="",$BF30="",$BD30="",$NC30=""),"",                                                     IF($BD30=0,0,($BD30-($BE30+$BF30))/$BD30*$NC30)),
                               IF(OR($BD30="",$BE30="",$BF30="",$EQ30="",$ER30="",$ES30="",$BD30="",$NC30=""),"",IF($BD30=0,0,
GuardLimitLower(
  ($BD30-($BE30+$BF30+$EQ30+$ER30+$ES30))/$BD30*$NC30,
  data_GuardLimitFlag,
  0)
)))</f>
        <v>9.3586270427389873E-3</v>
      </c>
      <c r="OI30" s="215">
        <f>IF($NQ$25="","",IF($NC30=0,"",$NC30))</f>
        <v>7.3252159999999997E-2</v>
      </c>
      <c r="OJ30" s="218">
        <f>IF(OR($CA30="",$BV30=""),"",IF($BV30=0,0,$CA30/$BV30))</f>
        <v>0.10483665458860439</v>
      </c>
      <c r="OK30" s="218">
        <f>IF(OR($CC30="",$BV30=""),"",IF($BV30=0,0,$CC30/$BV30))</f>
        <v>9.7619329305441607E-2</v>
      </c>
      <c r="OL30" s="218" t="str">
        <f>IF(OR($FO30="",$FH30=""),"",IF($FH30=0,0,$FO30/$FH30))</f>
        <v/>
      </c>
      <c r="OM30" s="218" t="str">
        <f>IF(OR($FP30="",$FH30=""),"",IF($FH30=0,0,$FP30/$FH30))</f>
        <v/>
      </c>
      <c r="ON30" s="217">
        <f t="shared" ref="ON30:ON41" si="36">IF(OR($BW30="",$BX30="",$BV30=""),"",IF($BV30=0,0,AVERAGE($BW30,$BX30)/$BV30))</f>
        <v>0.3394663709887264</v>
      </c>
      <c r="OO30" s="210"/>
      <c r="OP30" s="210"/>
      <c r="OQ30" s="218" t="str">
        <f>IF(OR($FM30="",$FH30=""),"",IF($FH30=0,0,$FM30/$FH30))</f>
        <v/>
      </c>
      <c r="OR30" s="218" t="str">
        <f>IF(OR($FN30="",$FH30=""),"",IF($FH30=0,0,$FN30/$FH30))</f>
        <v/>
      </c>
      <c r="OS30" s="218">
        <f t="shared" ref="OS30:OS41" si="37">IF(OR($CB30="",$CA30=""),"",IF($CA30=0,0,
GuardLimitUpper(
  $CB30/($CA30*16),
  data_GuardLimitFlag,
  1)
))</f>
        <v>0.86722700307745004</v>
      </c>
      <c r="OT30" s="218">
        <f t="shared" ref="OT30:OT41" si="38">IF(OR($CD30="",$CC30=""),"",IF($CC30=0,0,
GuardLimitUpper(
  $CD30/($CC30*16),
  data_GuardLimitFlag,
  1)
))</f>
        <v>0.98150699877708925</v>
      </c>
      <c r="OU30" s="209" t="str">
        <f t="shared" ref="OU30:OU41" si="39">IF(OR($KH30="",$KJ30=""),"",IF($KJ30=0,0,$KH30/($KJ30*16)))</f>
        <v/>
      </c>
      <c r="OV30" s="209" t="str">
        <f t="shared" ref="OV30:OV41" si="40">IF(OR($KI30="",$KK30=""),"",IF($KK30=0,0,$KI30/($KK30*16)))</f>
        <v/>
      </c>
      <c r="OW30" s="209">
        <f>IF(OR($BZ30="",$BV30=""),"",IF($BV30=0,0,$BZ30/$BV30))</f>
        <v>5.550149091833813E-3</v>
      </c>
      <c r="OX30" s="219" t="str">
        <f t="shared" ref="OX30:OX41" si="41">IF(OR($GG30="",$AS30=""),"",IF($AS30=0,0,$GG30/$AS30))</f>
        <v/>
      </c>
      <c r="OY30" s="208">
        <f>IF(OR($DJ30="",$DK30=""),"",$DJ30+$DK30)</f>
        <v>14142417</v>
      </c>
      <c r="OZ30" s="208">
        <f t="shared" ref="OZ30:OZ41" si="42">IF($CP30="","",$CP30)</f>
        <v>2274898</v>
      </c>
      <c r="PA30" s="209">
        <f>IF(OR($OZ30="",$OY30=""),"",IF($OY30=0,0,$OZ30/$OY30))</f>
        <v>0.16085637978289002</v>
      </c>
      <c r="PB30" s="209">
        <f>IF(OR($CQ30="",$OZ30=""),"",IF($OZ30=0,0,
GuardLimitUpper(
  ($OZ30-$CQ30)/$OZ30,
  data_GuardLimitFlag,
  1)
))</f>
        <v>0.30765159580781204</v>
      </c>
      <c r="PC30" s="209" t="str">
        <f t="shared" ref="PC30:PC41" si="43">IF(OR($GB30="",$OZ30=""),"",IF($OZ30=0,0,
GuardLimitUpper(
  $GB30/($OZ30),
  data_GuardLimitFlag,
  1)
))</f>
        <v/>
      </c>
      <c r="PD30" s="209" t="str">
        <f t="shared" ref="PD30:PD41" si="44">IF(OR($CQ30="",$GB30="",$OZ30=""),"",IF($OZ30=0,0,
GuardLimitUpper(
  ($CQ30-$GB30)/$OZ30,
  data_GuardLimitFlag,
  1)
))</f>
        <v/>
      </c>
      <c r="PE30" s="208">
        <f>IF($OY$25="","",IF(OR($AO30="",$AQ30="",$AR30=""),"",$AO30-$AQ30-$AR30))</f>
        <v>1583374</v>
      </c>
      <c r="PF30" s="209">
        <f>IF(OR($PE30="",$OY30=""),"",IF($OY30=0,0,$PE30/$OY30))</f>
        <v>0.11195922168042421</v>
      </c>
      <c r="PG30" s="209">
        <f t="shared" ref="PG30:PG41" si="45">IF($O$7="Lv2",IF(OR($CS30="",$CO30="",$PE30=""),"",IF($PE30=0,0,($CS30-$CO30)/$PE30)),
                             IF(OR($CS30="",$CO30="",$GH30="",$GC30=""),"",IF($CS30-$CO30+$GC30-$GH30=0,0,
GuardLimitUpper(
  GuardLimitLower(
  ($CS30-$CO30)/($CS30-$CO30+$GC30-$GH30),
    data_GuardLimitFlag,
    0),
  data_GuardLimitFlag,
  1)
)))</f>
        <v>7.1690579736688867E-2</v>
      </c>
      <c r="PH30" s="209" t="str">
        <f t="shared" ref="PH30:PH41" si="46">IF(OR($GD30="",$CS30="",$CO30="",$GC30="",$GH30=""),"",IF($CS30-$CO30+$GC30-$GH30=0,0,
GuardLimitUpper(
  $GD30/($CS30-$CO30+$GC30-$GH30),
  data_GuardLimitFlag,
  1)
))</f>
        <v/>
      </c>
      <c r="PI30" s="209" t="str">
        <f t="shared" ref="PI30:PI41" si="47">IF(OR($GC30="",$GH30="",$GD30="",$CS30="",$CO30=""),"",IF($CS30-$CO30+$GC30-$GH30=0,0,
GuardLimitUpper(
  GuardLimitLower(
  ($GC30-$GH30-$GD30)/($CS30-$CO30+$GC30-$GH30),
    data_GuardLimitFlag,
    0),
  data_GuardLimitFlag,
  1)
))</f>
        <v/>
      </c>
      <c r="PJ30" s="220" t="str">
        <f t="shared" ref="PJ30:PJ41" si="48">IF(OR($GE30="",$OY30=""),"",IF($OY30=0,0,$GE30/$OY30))</f>
        <v/>
      </c>
      <c r="PK30" s="220" t="str">
        <f t="shared" ref="PK30:PK41" si="49">IF(OR($GF30="",$OY30=""),"",IF($OY30=0,0,$GF30/$OY30))</f>
        <v/>
      </c>
      <c r="PL30" s="221">
        <f>IF($O$8="Lv2",  IF($DL30="","",IF($CT30="",$DL30,
GuardLimitLower(
  $DL30-$CT30,
  data_GuardLimitFlag,
  0)
)),
                               IF(OR($DL30="",$HQ30="",$GS30="",$HR30="",$HK30="",$CT30="",$GU30=""),"",
GuardLimitLower(
  ($DL30-$HQ30)-($GS30+$HR30+$HK30+$CT30+$GU30),
  data_GuardLimitFlag,
  0)
))</f>
        <v>6900656</v>
      </c>
      <c r="PM30" s="221" t="str">
        <f t="shared" ref="PM30:PM41" si="50">IF($O$8="Lv2", "",IF($HK30="","",$HK30))</f>
        <v/>
      </c>
      <c r="PN30" s="221">
        <f>IF($CT30="","",$CT30)</f>
        <v>0</v>
      </c>
      <c r="PO30" s="221" t="str">
        <f t="shared" ref="PO30:PO41" si="51">IF($O$8="Lv2", "",IF($HR30="","",$HR30))</f>
        <v/>
      </c>
      <c r="PP30" s="221" t="str">
        <f t="shared" ref="PP30:PP41" si="52">IF($O$8="Lv2","",IF($GS30="","",IF($IU30="",$GS30,
GuardLimitLower(
  $GS30-$IU30,
  data_GuardLimitFlag,
  0)
)))</f>
        <v/>
      </c>
      <c r="PQ30" s="529" t="str">
        <f>IF($O$8="Lv2","",IF($IU30="","",$IU30))</f>
        <v/>
      </c>
      <c r="PR30" s="221" t="str">
        <f t="shared" ref="PR30:PR41" si="53">IF($O$8="Lv2", "",IF($GU30="","",$GU30))</f>
        <v/>
      </c>
      <c r="PS30" s="221">
        <f t="shared" ref="PS30:PS41" si="54">IF($O$8="Lv2",IF(OR($DJ30="",$DL30=""),"",$DJ30-$DL30),
                             IF(OR($DJ30="",$DL30="",$HQ30=""),"",$DJ30-($DL30-$HQ30)))</f>
        <v>4870864</v>
      </c>
      <c r="PT30" s="221">
        <f>IF($O$8="Lv2",  IF($DM30="","",IF($CU30="",$DM30,
GuardLimitLower(
  $DM30-$CU30,
  data_GuardLimitFlag,
  0)
)),
                               IF(OR($DM30="",$HO30="",$GT30="",$HL30="",$CU30=""),"",
GuardLimitLower(
  ($DM30-$HO30)-($GT30+$HL30+$CU30),
  data_GuardLimitFlag,
  0)
))</f>
        <v>1946165</v>
      </c>
      <c r="PU30" s="221" t="str">
        <f t="shared" ref="PU30:PU41" si="55">IF($O$8="Lv2", "",IF($HL30="","",$HL30))</f>
        <v/>
      </c>
      <c r="PV30" s="221">
        <f>IF($CU30="","",$CU30)</f>
        <v>0</v>
      </c>
      <c r="PW30" s="221" t="str">
        <f t="shared" ref="PW30:PW41" si="56">IF($O$8="Lv2","",IF($GT30="","",IF($IV30="",$GT30,
GuardLimitLower(
  $GT30-$IV30,
  data_GuardLimitFlag,
  0)
)))</f>
        <v/>
      </c>
      <c r="PX30" s="221" t="str">
        <f>IF($O$8="Lv2","",IF($IV30="","",$IV30))</f>
        <v/>
      </c>
      <c r="PY30" s="221">
        <f t="shared" ref="PY30:PY41" si="57">IF($O$8="Lv2",IF(OR($DK30="",$DM30=""),"",$DK30-$DM30),
                             IF(OR($DK30="",$DM30="",$HO30=""),"",$DK30-($DM30-$HO30)))</f>
        <v>424732</v>
      </c>
      <c r="PZ30" s="221" t="str">
        <f t="shared" ref="PZ30:PZ41" si="58">IF($O$8="Lv2","",IF($GW30="","",$GW30))</f>
        <v/>
      </c>
      <c r="QA30" s="221" t="str">
        <f t="shared" ref="QA30:QA41" si="59">IF($O$8="Lv2","",IF($GV30="","",$GV30))</f>
        <v/>
      </c>
      <c r="QB30" s="221" t="str">
        <f t="shared" ref="QB30:QB41" si="60">IF($O$8="Lv2","",IF(OR($DN30="",$GV30="",$GW30=""),"",
GuardLimitLower(
  $DN30-($GV30+$GW30),
  data_GuardLimitFlag,
  0)
))</f>
        <v/>
      </c>
      <c r="QC30" s="221" t="str">
        <f t="shared" ref="QC30:QC41" si="61">IF($O$8="Lv2","",IF($GX30="","",$GX30))</f>
        <v/>
      </c>
      <c r="QD30" s="221">
        <f>IF(OR($DG30="",$DH30="",$DI30=""),"",$DG30-($DH30+$DI30))</f>
        <v>14995203</v>
      </c>
      <c r="QE30" s="221">
        <f>IF($DH30="","",$DH30)</f>
        <v>10014928</v>
      </c>
      <c r="QF30" s="221">
        <f>IF($DI30="","",$DI30)</f>
        <v>796268</v>
      </c>
      <c r="QG30" s="222" t="str">
        <f t="shared" ref="QG30:QG41" si="62">IF($O$8="Lv2","",IF($HM30="","",$HM30))</f>
        <v/>
      </c>
      <c r="QH30" s="222" t="str">
        <f t="shared" ref="QH30:QH41" si="63">IF($O$8="Lv2","",IF($HN30="","",$HN30))</f>
        <v/>
      </c>
      <c r="QI30" s="222" t="str">
        <f t="shared" ref="QI30:QI41" si="64">IF($O$8="Lv2","",IF($GY30="","",$GY30))</f>
        <v/>
      </c>
      <c r="QJ30" s="222" t="str">
        <f t="shared" ref="QJ30:QJ41" si="65">IF($O$8="Lv2","",IF($GZ30="","",$GZ30))</f>
        <v/>
      </c>
      <c r="QK30" s="222" t="str">
        <f t="shared" ref="QK30:QK41" si="66">IF($O$8="Lv2","",IF($HP30="","",$HP30))</f>
        <v/>
      </c>
      <c r="QL30" s="222" t="str">
        <f>IF($O$8="Lv2","",IF($JA30="","",$JA30))</f>
        <v/>
      </c>
      <c r="QM30" s="222">
        <f>IF(OR($O$8="Lv2",$O$8="Lv3",$O$8="Lv4"),IF(OR($AS30="",COUNT($PL30:$QL30)=0),"",
GuardLimitLower(
  $AS30-SUM($PL30:$QL30),
  data_GuardLimitFlag,
  0)
),"")</f>
        <v>38452551</v>
      </c>
      <c r="QN30" s="222">
        <f>IF(OR($O$8="Lv2",$O$8="Lv3",$O$8="Lv4"),IF($AS30="","",$AS30),"")</f>
        <v>78401367</v>
      </c>
      <c r="QO30" s="222" t="str">
        <f>IF(OR($EU30="",$C$11="",$EW30="",$AM30="",$AN30=""),"",$EU30*$C$11+$EW30)</f>
        <v/>
      </c>
      <c r="QP30" s="222" t="str">
        <f>IF(OR($EV30="",$C$11="",$EX30="",$AM30="",$AN30=""),"",$EV30*$C$11+$EX30)</f>
        <v/>
      </c>
      <c r="QQ30" s="222" t="str">
        <f>IF(OR($AM30="",$EV30="",$EU30="",$C$11="",$AN30="",$EX30="",$EW30=""),"",($AM30-$EV30-$EU30)*$C$11+($AN30-$EX30-$EW30))</f>
        <v/>
      </c>
      <c r="QR30" s="222">
        <f t="shared" ref="QR30:QR41" si="67">IF(OR($AM30="",$C$11="",$AN30="",$CA30="",$CC30="",$CB30="",$CD30="",$C$17="",$NC30=""),"",IF(OR($CA30+$CC30=0,$C$17=0,$NC30=0),0,
($AM30*$C$11+$AN30)*
GuardLimitUpper(
  ($CB30+$CD30)/(($CA30+$CC30)*$C$17),
  data_GuardLimitFlag,
  1)
/10^9/$NC30)
)</f>
        <v>3.3958524689594594</v>
      </c>
      <c r="QS30" s="209" t="str">
        <f t="shared" ref="QS30:QS41" si="68">IF(OR($KG30="",$KF30="",$KE30=""),"",IF($KG30+$KF30+$KE30=0,0,$KE30/($KG30+$KF30+$KE30)))</f>
        <v/>
      </c>
      <c r="QT30" s="209" t="str">
        <f t="shared" ref="QT30:QT41" si="69">IF(OR($KG30="",$KF30="",$KE30=""),"",IF($KG30+$KF30+$KE30=0,0,$KF30/($KG30+$KF30+$KE30)))</f>
        <v/>
      </c>
      <c r="QU30" s="209" t="str">
        <f t="shared" ref="QU30:QU41" si="70">IF(OR($KG30="",$KF30="",$KE30=""),"",IF($KG30+$KF30+$KE30=0,0,$KG30/($KG30+$KF30+$KE30)))</f>
        <v/>
      </c>
      <c r="QV30" s="208" t="str">
        <f t="shared" ref="QV30:QV41" si="71">IF($IC30="","",$IC30)</f>
        <v/>
      </c>
      <c r="QW30" s="208" t="str">
        <f t="shared" ref="QW30:QW41" si="72">IF($IY30="","",$IY30)</f>
        <v/>
      </c>
      <c r="QX30" s="208" t="str">
        <f t="shared" ref="QX30:QX41" si="73">IF($IZ30="","",$IZ30)</f>
        <v/>
      </c>
      <c r="QY30" s="208" t="str">
        <f t="shared" ref="QY30:QY41" si="74">IF($IW30="","",$IW30)</f>
        <v/>
      </c>
      <c r="QZ30" s="208" t="str">
        <f t="shared" ref="QZ30:QZ41" si="75">IF($IX30="","",$IX30)</f>
        <v/>
      </c>
      <c r="RA30" s="209" t="str">
        <f>IF(OR($IF30="",$IC30=""),"",IF($IC30=0,0,
GuardLimitUpper(
  $IF30/$IC30,
  data_GuardLimitFlag,
  1)
))</f>
        <v/>
      </c>
      <c r="RB30" s="209" t="str">
        <f t="shared" ref="RB30:RB41" si="76">IF(OR($IG30="",$GZ30=""),"",IF($GZ30=0,0,$IG30/$GZ30))</f>
        <v/>
      </c>
      <c r="RC30" s="209" t="str">
        <f t="shared" ref="RC30:RC41" si="77">IF(OR($JM30="",$JN30="",$JO30="",$JP30="",$JQ30="",$JR30="",$JS30=""),"",IF($JM30+$JN30+$JO30+$JP30+$JQ30+$JR30+$JS30=0,0,$JM30/($JM30+$JN30+$JO30+$JP30+$JQ30+$JR30+$JS30)))</f>
        <v/>
      </c>
      <c r="RD30" s="209" t="str">
        <f t="shared" ref="RD30:RD41" si="78">IF(OR($JM30="",$JN30="",$JO30="",$JP30="",$JQ30="",$JR30="",$JS30=""),"",IF($JM30+$JN30+$JO30+$JP30+$JQ30+$JR30+$JS30=0,0,$JN30/($JM30+$JN30+$JO30+$JP30+$JQ30+$JR30+$JS30)))</f>
        <v/>
      </c>
      <c r="RE30" s="209" t="str">
        <f t="shared" ref="RE30:RE41" si="79">IF(OR($JM30="",$JN30="",$JO30="",$JP30="",$JQ30="",$JR30="",$JS30=""),"",IF($JM30+$JN30+$JO30+$JP30+$JQ30+$JR30+$JS30=0,0,$JO30/($JM30+$JN30+$JO30+$JP30+$JQ30+$JR30+$JS30)))</f>
        <v/>
      </c>
      <c r="RF30" s="209" t="str">
        <f t="shared" ref="RF30:RF41" si="80">IF(OR($JM30="",$JN30="",$JO30="",$JP30="",$JQ30="",$JR30="",$JS30=""),"",IF($JM30+$JN30+$JO30+$JP30+$JQ30+$JR30+$JS30=0,0,$JP30/($JM30+$JN30+$JO30+$JP30+$JQ30+$JR30+$JS30)))</f>
        <v/>
      </c>
      <c r="RG30" s="209" t="str">
        <f t="shared" ref="RG30:RG41" si="81">IF(OR($JM30="",$JN30="",$JO30="",$JP30="",$JQ30="",$JR30="",$JS30=""),"",IF($JM30+$JN30+$JO30+$JP30+$JQ30+$JR30+$JS30=0,0,$JQ30/($JM30+$JN30+$JO30+$JP30+$JQ30+$JR30+$JS30)))</f>
        <v/>
      </c>
      <c r="RH30" s="209" t="str">
        <f t="shared" ref="RH30:RH41" si="82">IF(OR($JM30="",$JN30="",$JO30="",$JP30="",$JQ30="",$JR30="",$JS30=""),"",IF($JM30+$JN30+$JO30+$JP30+$JQ30+$JR30+$JS30=0,0,$JR30/($JM30+$JN30+$JO30+$JP30+$JQ30+$JR30+$JS30)))</f>
        <v/>
      </c>
      <c r="RI30" s="209" t="str">
        <f t="shared" ref="RI30:RI41" si="83">IF(OR($JM30="",$JN30="",$JO30="",$JP30="",$JQ30="",$JR30="",$JS30=""),"",IF($JM30+$JN30+$JO30+$JP30+$JQ30+$JR30+$JS30=0,0,$JS30/($JM30+$JN30+$JO30+$JP30+$JQ30+$JR30+$JS30)))</f>
        <v/>
      </c>
      <c r="RJ30" s="223" t="s">
        <v>854</v>
      </c>
      <c r="RK30" s="222" t="str">
        <f>IF(OR(COUNT($LO30:$LO41)=0,$C$8="",$NC$42=""),"",IF($NC$42=0,0,AVERAGE($LO30:$LO41)*$C$8/10^9/$NC$42))</f>
        <v/>
      </c>
      <c r="RL30" s="222" t="str">
        <f>IF(COUNT($RK45:$RK56)=0,"",AVERAGE($RK45:$RK56))</f>
        <v/>
      </c>
      <c r="RM30" s="224"/>
      <c r="RN30" s="224"/>
      <c r="RO30" s="224"/>
      <c r="RP30" s="222" t="str">
        <f>IF(OR(COUNT($LP30:$LP41)=0,$C$8="",$NC$42=""),"",IF($NC$42=0,0,AVERAGE($LP30:$LP41)*$C$8/10^9/$NC$42))</f>
        <v/>
      </c>
      <c r="RQ30" s="222" t="str">
        <f>IF(OR(COUNT($LQ30:$LQ41)=0,$C$8="",$NC$42=""),"",IF($NC$42=0,0,AVERAGE($LQ30:$LQ41)*$C$8/10^9/$NC$42))</f>
        <v/>
      </c>
      <c r="RR30" s="222" t="str">
        <f t="shared" ref="RR30:RR41" si="84">IF($FJ30="","",IF($NC30=0,0,$FJ30*8/10^9/$NC30))</f>
        <v/>
      </c>
      <c r="RS30" s="224"/>
      <c r="RT30" s="224"/>
      <c r="RU30" s="208">
        <f>IF(OR($AK30="",$C$4=""),"",$AK30/$C$4)</f>
        <v>7.3252159999999997E-2</v>
      </c>
      <c r="RV30" s="208">
        <f>IF(OR($AL30="",$AL30=""),"",IF($AL30=0,0,$AL30/$AL30))</f>
        <v>1</v>
      </c>
      <c r="RW30" s="208">
        <f>IF(OR($BD30="",$AL30=""),"",IF($AL30=0,0,$BD30/$AL30))</f>
        <v>0.99305418433921699</v>
      </c>
      <c r="RX30" s="208">
        <f>IF(OR($BV30="",$AL30=""),"",IF($AL30=0,0,$BV30/$AL30))</f>
        <v>0.99108964223281515</v>
      </c>
      <c r="RY30" s="208">
        <f>IF(OR($CN30="",$AL30=""),"",IF($AL30=0,0,$CN30/$AL30))</f>
        <v>0.98675117709504145</v>
      </c>
      <c r="RZ30" s="208">
        <f t="shared" ref="RZ30:RZ41" si="85">IF(OR($DF30="",$AL30=""),"",IF($AL30=0,0,$DF30/$AL30))</f>
        <v>0.98706237395583063</v>
      </c>
      <c r="SA30" s="208" t="str">
        <f t="shared" ref="SA30:SA41" si="86">IF(OR($DX30="",$AL30=""),"",IF($AL30=0,0,$DX30/$AL30))</f>
        <v/>
      </c>
      <c r="SB30" s="208" t="str">
        <f t="shared" ref="SB30:SB41" si="87">IF(OR($EP30="",$AL30=""),"",IF($AL30=0,0,$EP30/$AL30))</f>
        <v/>
      </c>
      <c r="SC30" s="208" t="str">
        <f t="shared" ref="SC30:SC41" si="88">IF(OR($FH30="",$AL30=""),"",IF($AL30=0,0,$FH30/$AL30))</f>
        <v/>
      </c>
      <c r="SD30" s="208" t="str">
        <f t="shared" ref="SD30:SD41" si="89">IF(OR($FZ30="",$AL30=""),"",IF($AL30=0,0,$FZ30/$AL30))</f>
        <v/>
      </c>
      <c r="SE30" s="208" t="str">
        <f t="shared" ref="SE30:SE41" si="90">IF(OR($GR30="",$AL30=""),"",IF($AL30=0,0,$GR30/$AL30))</f>
        <v/>
      </c>
      <c r="SF30" s="208" t="str">
        <f t="shared" ref="SF30:SF41" si="91">IF(OR($HJ30="",$AL30=""),"",IF($AL30=0,0,$HJ30/$AL30))</f>
        <v/>
      </c>
      <c r="SG30" s="208" t="str">
        <f t="shared" ref="SG30:SG41" si="92">IF(OR($IB30="",$AL30=""),"",IF($AL30=0,0,$IB30/$AL30))</f>
        <v/>
      </c>
      <c r="SH30" s="208" t="str">
        <f t="shared" ref="SH30:SH41" si="93">IF(OR($JL30="",$AL30=""),"",IF($AL30=0,0,$JL30/$AL30))</f>
        <v/>
      </c>
      <c r="SI30" s="208" t="str">
        <f t="shared" ref="SI30:SI41" si="94">IF(OR($IT30="",$AL30=""),"",IF($AL30=0,0,$IT30/$AL30))</f>
        <v/>
      </c>
      <c r="SJ30" s="208" t="str">
        <f t="shared" ref="SJ30:SJ41" si="95">IF(OR($KD30="",$AL30=""),"",IF($AL30=0,0,$KD30/$AL30))</f>
        <v/>
      </c>
      <c r="SK30" s="208" t="str">
        <f t="shared" ref="SK30:SK41" si="96">IF(OR($KV30="",$AL30=""),"",IF($AL30=0,0,$KV30/$AL30))</f>
        <v/>
      </c>
      <c r="SL30" s="208" t="str">
        <f t="shared" ref="SL30:SL41" si="97">IF(OR($LN30="",$AL30=""),"",IF($AL30=0,0,$LN30/$AL30))</f>
        <v/>
      </c>
      <c r="SM30" s="222">
        <f>IF($AJ30="","",$AJ30)</f>
        <v>3</v>
      </c>
      <c r="SN30" s="225">
        <f t="shared" ref="SN30:SN41" si="98">IF(OR($NC30="",$SM30=""),"",IF($SM30=0,0,$NC30/$SM30))</f>
        <v>2.4417386666666666E-2</v>
      </c>
      <c r="SO30" s="209">
        <f>IF(OR($OI30="",$OC30="",COUNT($OI$30:$OI$41)=0),"",IF(MAX($OI$30:$OI$41)=0,0,($OI30-$OC30)/MAX($OI$30:$OI$41)))</f>
        <v>0.98654595907956022</v>
      </c>
      <c r="SP30" s="209">
        <f>IF(OR($NH30="",COUNT($NH$30:$NH$41)=0),"",IF(MAX($NH$30:$NH$41)=0,0,$NH30/MAX($NH$30:$NH$41)))</f>
        <v>0.97687314339711928</v>
      </c>
      <c r="SQ30" s="222">
        <f>IF($AL30="","",$AL30)</f>
        <v>159150063</v>
      </c>
      <c r="SR30" s="222">
        <f>IF($BD30="","",$BD30)</f>
        <v>158044636</v>
      </c>
      <c r="SS30" s="222">
        <f>IF($BV30="","",$BV30)</f>
        <v>157731979</v>
      </c>
      <c r="ST30" s="222">
        <f>IF($CN30="","",$CN30)</f>
        <v>157041512</v>
      </c>
      <c r="SU30" s="222">
        <f>IF($DF30="","",$DF30)</f>
        <v>157091039</v>
      </c>
      <c r="SV30" s="222" t="str">
        <f>IF($DX30="","",$DX30)</f>
        <v/>
      </c>
      <c r="SW30" s="222" t="str">
        <f>IF($EP30="","",$EP30)</f>
        <v/>
      </c>
      <c r="SX30" s="222" t="str">
        <f>IF($FH30="","",$FH30)</f>
        <v/>
      </c>
      <c r="SY30" s="222" t="str">
        <f>IF($FZ30="","",$FZ30)</f>
        <v/>
      </c>
      <c r="SZ30" s="222" t="str">
        <f>IF($GR30="","",$GR30)</f>
        <v/>
      </c>
      <c r="TA30" s="222" t="str">
        <f>IF($HJ30="","",$HJ30)</f>
        <v/>
      </c>
      <c r="TB30" s="222" t="str">
        <f>IF($IB30="","",$IB30)</f>
        <v/>
      </c>
      <c r="TC30" s="222" t="str">
        <f t="shared" ref="TC30:TC41" si="99">IF($JL30="","",$JL30)</f>
        <v/>
      </c>
      <c r="TD30" s="222" t="str">
        <f>IF($IT30="","",$IT30)</f>
        <v/>
      </c>
      <c r="TE30" s="222" t="str">
        <f>IF($KD30="","",$KD30)</f>
        <v/>
      </c>
      <c r="TF30" s="222" t="str">
        <f>IF($KV30="","",$KV30)</f>
        <v/>
      </c>
      <c r="TG30" s="222" t="str">
        <f>IF($LN30="","",$LN30)</f>
        <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13</v>
      </c>
      <c r="AG31" s="430">
        <v>1</v>
      </c>
      <c r="AH31" s="430" t="s">
        <v>1975</v>
      </c>
      <c r="AI31" s="430">
        <v>1</v>
      </c>
      <c r="AJ31" s="430">
        <v>3</v>
      </c>
      <c r="AK31" s="594">
        <v>7320608</v>
      </c>
      <c r="AL31" s="594">
        <v>158578887</v>
      </c>
      <c r="AM31" s="430">
        <v>65327900</v>
      </c>
      <c r="AN31" s="430">
        <v>36325</v>
      </c>
      <c r="AO31" s="430">
        <v>1570980</v>
      </c>
      <c r="AP31" s="430">
        <v>539917</v>
      </c>
      <c r="AQ31" s="595">
        <v>14151</v>
      </c>
      <c r="AR31" s="595">
        <v>17771</v>
      </c>
      <c r="AS31" s="594">
        <v>80075585</v>
      </c>
      <c r="AT31" s="594">
        <v>37500590</v>
      </c>
      <c r="AU31" s="430" t="s">
        <v>1974</v>
      </c>
      <c r="AV31" s="430" t="s">
        <v>1964</v>
      </c>
      <c r="AW31" s="430">
        <v>0</v>
      </c>
      <c r="AX31" s="430">
        <v>1</v>
      </c>
      <c r="AY31" s="430">
        <v>1</v>
      </c>
      <c r="AZ31" s="430" t="s">
        <v>1975</v>
      </c>
      <c r="BA31" s="430">
        <v>1</v>
      </c>
      <c r="BB31" s="430">
        <v>3</v>
      </c>
      <c r="BC31" s="430">
        <v>7276736</v>
      </c>
      <c r="BD31" s="430">
        <v>158002471</v>
      </c>
      <c r="BE31" s="430">
        <v>129690606</v>
      </c>
      <c r="BF31" s="595">
        <v>7751276</v>
      </c>
      <c r="BG31" s="430">
        <v>63401918</v>
      </c>
      <c r="BH31" s="595">
        <v>1813621</v>
      </c>
      <c r="BI31" s="430">
        <v>36959612</v>
      </c>
      <c r="BJ31" s="430">
        <v>25980862</v>
      </c>
      <c r="BK31" s="430">
        <v>0</v>
      </c>
      <c r="BL31" s="430">
        <v>2443557</v>
      </c>
      <c r="BM31" s="430" t="s">
        <v>1974</v>
      </c>
      <c r="BN31" s="430" t="s">
        <v>1964</v>
      </c>
      <c r="BO31" s="430">
        <v>0</v>
      </c>
      <c r="BP31" s="430">
        <v>1</v>
      </c>
      <c r="BQ31" s="430">
        <v>1</v>
      </c>
      <c r="BR31" s="430" t="s">
        <v>1975</v>
      </c>
      <c r="BS31" s="430">
        <v>1</v>
      </c>
      <c r="BT31" s="430">
        <v>3</v>
      </c>
      <c r="BU31" s="430">
        <v>7250912</v>
      </c>
      <c r="BV31" s="430">
        <v>157536974</v>
      </c>
      <c r="BW31" s="594">
        <v>54597071</v>
      </c>
      <c r="BX31" s="594">
        <v>51622283</v>
      </c>
      <c r="BY31" s="430">
        <v>118464498</v>
      </c>
      <c r="BZ31" s="430">
        <v>937866</v>
      </c>
      <c r="CA31" s="430">
        <v>16030749</v>
      </c>
      <c r="CB31" s="430">
        <v>222449742</v>
      </c>
      <c r="CC31" s="430">
        <v>14927345</v>
      </c>
      <c r="CD31" s="430">
        <v>234453544</v>
      </c>
      <c r="CE31" s="430" t="s">
        <v>1974</v>
      </c>
      <c r="CF31" s="430" t="s">
        <v>1964</v>
      </c>
      <c r="CG31" s="430">
        <v>0</v>
      </c>
      <c r="CH31" s="430">
        <v>1</v>
      </c>
      <c r="CI31" s="430">
        <v>1</v>
      </c>
      <c r="CJ31" s="430" t="s">
        <v>1975</v>
      </c>
      <c r="CK31" s="430">
        <v>1</v>
      </c>
      <c r="CL31" s="430">
        <v>3</v>
      </c>
      <c r="CM31" s="430">
        <v>7235008</v>
      </c>
      <c r="CN31" s="430">
        <v>157179328</v>
      </c>
      <c r="CO31" s="430">
        <v>13042</v>
      </c>
      <c r="CP31" s="430">
        <v>2213740</v>
      </c>
      <c r="CQ31" s="430">
        <v>1534781</v>
      </c>
      <c r="CR31" s="430">
        <v>1567293</v>
      </c>
      <c r="CS31" s="430">
        <v>119982</v>
      </c>
      <c r="CT31" s="430">
        <v>0</v>
      </c>
      <c r="CU31" s="430">
        <v>0</v>
      </c>
      <c r="CV31" s="430">
        <v>16523</v>
      </c>
      <c r="CW31" s="430" t="s">
        <v>1974</v>
      </c>
      <c r="CX31" s="430" t="s">
        <v>1964</v>
      </c>
      <c r="CY31" s="430">
        <v>0</v>
      </c>
      <c r="CZ31" s="430">
        <v>1</v>
      </c>
      <c r="DA31" s="430">
        <v>1</v>
      </c>
      <c r="DB31" s="430" t="s">
        <v>1975</v>
      </c>
      <c r="DC31" s="430">
        <v>1</v>
      </c>
      <c r="DD31" s="430">
        <v>3</v>
      </c>
      <c r="DE31" s="430">
        <v>7233568</v>
      </c>
      <c r="DF31" s="430">
        <v>156494270</v>
      </c>
      <c r="DG31" s="430">
        <v>25006949</v>
      </c>
      <c r="DH31" s="430">
        <v>9704856</v>
      </c>
      <c r="DI31" s="430">
        <v>771402</v>
      </c>
      <c r="DJ31" s="430">
        <v>12537299</v>
      </c>
      <c r="DK31" s="430">
        <v>2392035</v>
      </c>
      <c r="DL31" s="430">
        <v>6689159</v>
      </c>
      <c r="DM31" s="430">
        <v>1886489</v>
      </c>
      <c r="DN31" s="430">
        <v>9740738</v>
      </c>
      <c r="DO31" s="595"/>
      <c r="DP31" s="595"/>
      <c r="DQ31" s="595"/>
      <c r="DR31" s="595"/>
      <c r="DS31" s="595"/>
      <c r="DT31" s="595"/>
      <c r="DU31" s="595"/>
      <c r="DV31" s="595"/>
      <c r="DW31" s="595"/>
      <c r="DX31" s="595"/>
      <c r="DY31" s="595"/>
      <c r="DZ31" s="595"/>
      <c r="EA31" s="595"/>
      <c r="EB31" s="430"/>
      <c r="EC31" s="595"/>
      <c r="ED31" s="595"/>
      <c r="EE31" s="595"/>
      <c r="EF31" s="595"/>
      <c r="EG31" s="595"/>
      <c r="EH31" s="595"/>
      <c r="EI31" s="595"/>
      <c r="EJ31" s="595"/>
      <c r="EK31" s="595"/>
      <c r="EL31" s="595"/>
      <c r="EM31" s="595"/>
      <c r="EN31" s="595"/>
      <c r="EO31" s="595"/>
      <c r="EP31" s="595"/>
      <c r="EQ31" s="595"/>
      <c r="ER31" s="595"/>
      <c r="ES31" s="430"/>
      <c r="ET31" s="595"/>
      <c r="EU31" s="595"/>
      <c r="EV31" s="595"/>
      <c r="EW31" s="595"/>
      <c r="EX31" s="595"/>
      <c r="EY31" s="595"/>
      <c r="EZ31" s="595"/>
      <c r="FA31" s="595"/>
      <c r="FB31" s="595"/>
      <c r="FC31" s="595"/>
      <c r="FD31" s="595"/>
      <c r="FE31" s="595"/>
      <c r="FF31" s="595"/>
      <c r="FG31" s="595"/>
      <c r="FH31" s="595"/>
      <c r="FI31" s="595"/>
      <c r="FJ31" s="595"/>
      <c r="FK31" s="595"/>
      <c r="FL31" s="595"/>
      <c r="FM31" s="595"/>
      <c r="FN31" s="595"/>
      <c r="FO31" s="430"/>
      <c r="FP31" s="430"/>
      <c r="FQ31" s="595"/>
      <c r="FR31" s="595"/>
      <c r="FS31" s="595"/>
      <c r="FT31" s="595"/>
      <c r="FU31" s="595"/>
      <c r="FV31" s="595"/>
      <c r="FW31" s="595"/>
      <c r="FX31" s="595"/>
      <c r="FY31" s="595"/>
      <c r="FZ31" s="595"/>
      <c r="GA31" s="595"/>
      <c r="GB31" s="595"/>
      <c r="GC31" s="595"/>
      <c r="GD31" s="595"/>
      <c r="GE31" s="595"/>
      <c r="GF31" s="595"/>
      <c r="GG31" s="595"/>
      <c r="GH31" s="595"/>
      <c r="GI31" s="595"/>
      <c r="GJ31" s="595"/>
      <c r="GK31" s="595"/>
      <c r="GL31" s="595"/>
      <c r="GM31" s="595"/>
      <c r="GN31" s="595"/>
      <c r="GO31" s="595"/>
      <c r="GP31" s="595"/>
      <c r="GQ31" s="595"/>
      <c r="GR31" s="595"/>
      <c r="GS31" s="595"/>
      <c r="GT31" s="595"/>
      <c r="GU31" s="595"/>
      <c r="GV31" s="595"/>
      <c r="GW31" s="595"/>
      <c r="GX31" s="595"/>
      <c r="GY31" s="595"/>
      <c r="GZ31" s="595"/>
      <c r="HA31" s="595"/>
      <c r="HB31" s="595"/>
      <c r="HC31" s="595"/>
      <c r="HD31" s="595"/>
      <c r="HE31" s="595"/>
      <c r="HF31" s="595"/>
      <c r="HG31" s="595"/>
      <c r="HH31" s="595"/>
      <c r="HI31" s="595"/>
      <c r="HJ31" s="595"/>
      <c r="HK31" s="595"/>
      <c r="HL31" s="595"/>
      <c r="HM31" s="595"/>
      <c r="HN31" s="595"/>
      <c r="HO31" s="595"/>
      <c r="HP31" s="595"/>
      <c r="HQ31" s="595"/>
      <c r="HR31" s="595"/>
      <c r="HS31" s="595"/>
      <c r="HT31" s="595"/>
      <c r="HU31" s="595"/>
      <c r="HV31" s="595"/>
      <c r="HW31" s="595"/>
      <c r="HX31" s="595"/>
      <c r="HY31" s="595"/>
      <c r="HZ31" s="595"/>
      <c r="IA31" s="595"/>
      <c r="IB31" s="595"/>
      <c r="IC31" s="595"/>
      <c r="ID31" s="595"/>
      <c r="IE31" s="595"/>
      <c r="IF31" s="595"/>
      <c r="IG31" s="595"/>
      <c r="IH31" s="595"/>
      <c r="II31" s="595"/>
      <c r="IJ31" s="595"/>
      <c r="IK31" s="595"/>
      <c r="IL31" s="595"/>
      <c r="IM31" s="595"/>
      <c r="IN31" s="595"/>
      <c r="IO31" s="595"/>
      <c r="IP31" s="595"/>
      <c r="IQ31" s="595"/>
      <c r="IR31" s="595"/>
      <c r="IS31" s="595"/>
      <c r="IT31" s="595"/>
      <c r="IU31" s="595"/>
      <c r="IV31" s="595"/>
      <c r="IW31" s="595"/>
      <c r="IX31" s="595"/>
      <c r="IY31" s="595"/>
      <c r="IZ31" s="595"/>
      <c r="JA31" s="595"/>
      <c r="JB31" s="595"/>
      <c r="JC31" s="595"/>
      <c r="JD31" s="595"/>
      <c r="JE31" s="595"/>
      <c r="JF31" s="595"/>
      <c r="JG31" s="595"/>
      <c r="JH31" s="595"/>
      <c r="JI31" s="595"/>
      <c r="JJ31" s="595"/>
      <c r="JK31" s="595"/>
      <c r="JL31" s="595"/>
      <c r="JM31" s="595"/>
      <c r="JN31" s="595"/>
      <c r="JO31" s="595"/>
      <c r="JP31" s="595"/>
      <c r="JQ31" s="595"/>
      <c r="JR31" s="595"/>
      <c r="JS31" s="595"/>
      <c r="JT31" s="595"/>
      <c r="JU31" s="595"/>
      <c r="JV31" s="595"/>
      <c r="JW31" s="595"/>
      <c r="JX31" s="595"/>
      <c r="JY31" s="595"/>
      <c r="JZ31" s="595"/>
      <c r="KA31" s="595"/>
      <c r="KB31" s="595"/>
      <c r="KC31" s="595"/>
      <c r="KD31" s="595"/>
      <c r="KE31" s="595"/>
      <c r="KF31" s="595"/>
      <c r="KG31" s="595"/>
      <c r="KH31" s="595"/>
      <c r="KI31" s="595"/>
      <c r="KJ31" s="595"/>
      <c r="KK31" s="595"/>
      <c r="KL31" s="595"/>
      <c r="KM31" s="595"/>
      <c r="KN31" s="595"/>
      <c r="KO31" s="595"/>
      <c r="KP31" s="595"/>
      <c r="KQ31" s="595"/>
      <c r="KR31" s="595"/>
      <c r="KS31" s="595"/>
      <c r="KT31" s="595"/>
      <c r="KU31" s="595"/>
      <c r="KV31" s="595"/>
      <c r="KW31" s="595"/>
      <c r="KX31" s="595"/>
      <c r="KY31" s="595"/>
      <c r="KZ31" s="595"/>
      <c r="LA31" s="595"/>
      <c r="LB31" s="595"/>
      <c r="LC31" s="595"/>
      <c r="LD31" s="595"/>
      <c r="LE31" s="595"/>
      <c r="LF31" s="595"/>
      <c r="LG31" s="595"/>
      <c r="LH31" s="595"/>
      <c r="LI31" s="595"/>
      <c r="LJ31" s="595"/>
      <c r="LK31" s="595"/>
      <c r="LL31" s="595"/>
      <c r="LM31" s="595"/>
      <c r="LN31" s="595"/>
      <c r="LO31" s="595"/>
      <c r="LP31" s="595"/>
      <c r="LQ31" s="595"/>
      <c r="LR31" s="595"/>
      <c r="LS31" s="595"/>
      <c r="LT31" s="595"/>
      <c r="LU31" s="595"/>
      <c r="LV31" s="595"/>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13</v>
      </c>
      <c r="NB31" s="424">
        <f t="shared" ref="NB31:NB41" si="101">IF($AG31="","",$AG31)</f>
        <v>1</v>
      </c>
      <c r="NC31" s="207">
        <f t="shared" ref="NC31:NC41" si="102">IF(OR($AK31="",$C$4=""),"",$AK31/$C$4)</f>
        <v>7.3206080000000007E-2</v>
      </c>
      <c r="ND31" s="208">
        <f t="shared" ref="ND31:ND40" si="103">IF(OR($NI31="",$NC31=""),"",IF($NC31=0,0,$NI31/10^9/$NC31))</f>
        <v>3.5700303171539844</v>
      </c>
      <c r="NE31" s="209">
        <f t="shared" si="15"/>
        <v>5.1349420451732401E-2</v>
      </c>
      <c r="NF31" s="208">
        <f t="shared" si="16"/>
        <v>7.2701283827791343</v>
      </c>
      <c r="NG31" s="210"/>
      <c r="NH31" s="211">
        <f t="shared" ref="NH31:NH41" si="104">IF($AS31="","",$AS31)</f>
        <v>80075585</v>
      </c>
      <c r="NI31" s="208">
        <f t="shared" si="17"/>
        <v>261347925</v>
      </c>
      <c r="NJ31" s="212">
        <f t="shared" ref="NJ31:NJ41" si="105">IF(OR($AT31="",$AS31=""),"",IF($AS31=0,0,$AT31/$AS31))</f>
        <v>0.46831490522360841</v>
      </c>
      <c r="NK31" s="213">
        <f t="shared" ref="NK31:NK41" si="106">IF(OR($AM31="",$C$11="",$AN31=""),"",IF($AM31*$C$11+$AN31=0,0,$AM31*$C$11/($AM31*$C$11+$AN31)))</f>
        <v>0.99986100903613451</v>
      </c>
      <c r="NL31" s="214">
        <f t="shared" si="18"/>
        <v>0.92242291708914637</v>
      </c>
      <c r="NM31" s="208">
        <f t="shared" ref="NM31:NM41" si="107">IF(OR($AS31="",$AL31=""),"",IF($AL31=0,0,$AS31/$AL31))</f>
        <v>0.50495741592637111</v>
      </c>
      <c r="NN31" s="208">
        <f t="shared" si="19"/>
        <v>1.0938379025348715</v>
      </c>
      <c r="NO31" s="215">
        <f t="shared" si="20"/>
        <v>8.402911876971849E-4</v>
      </c>
      <c r="NP31" s="216" t="str">
        <f t="shared" ref="NP31:NP41" si="108">IF($O$5="Lv2","",IF(OR($EE31="",$BD31="",$NC31=""),"",IF($BD31=0,0,($EE31)/$BD31*$NC31)))</f>
        <v/>
      </c>
      <c r="NQ31" s="215" t="str">
        <f t="shared" ref="NQ31:NQ41" si="109">IF($O$5="Lv2","",IF(OR($EC31="",$BD31="",$NC31=""),"",IF($BD31=0,0,$EC31/$BD31*$NC31)))</f>
        <v/>
      </c>
      <c r="NR31" s="215" t="str">
        <f t="shared" ref="NR31:NR41" si="110">IF($O$5="Lv2","",IF(OR($EB31="",$EC31="",$BD31="",$NC31=""),"",IF($BD31=0,0,($EB31-$EC31)/$BD31*$NC31)))</f>
        <v/>
      </c>
      <c r="NS31" s="215" t="str">
        <f t="shared" si="21"/>
        <v/>
      </c>
      <c r="NT31" s="215" t="str">
        <f t="shared" si="22"/>
        <v/>
      </c>
      <c r="NU31" s="215">
        <f t="shared" si="23"/>
        <v>2.8535235991630541E-2</v>
      </c>
      <c r="NV31" s="215" t="str">
        <f t="shared" ref="NV31:NV41" si="111">IF($O$5="Lv2","",IF(OR($BG31="",$EB31="",$DZ31="",$BH31="",$NT31="",$BD31="",$NC31=""),"",IF(OR($BD31=0,$NC31=0),0,
GuardLimitLower(
  ($BG31-($EB31+$DZ31+$BH31+$NT31*$BD31/$NC31))/$BD31*$NC31,
  data_GuardLimitFlag,
  0)
)))</f>
        <v/>
      </c>
      <c r="NW31" s="215" t="str">
        <f t="shared" si="24"/>
        <v/>
      </c>
      <c r="NX31" s="215">
        <f t="shared" si="25"/>
        <v>1.7124215182944578E-2</v>
      </c>
      <c r="NY31" s="215" t="str">
        <f t="shared" si="26"/>
        <v/>
      </c>
      <c r="NZ31" s="215">
        <f t="shared" si="27"/>
        <v>1.5513024599540601E-3</v>
      </c>
      <c r="OA31" s="215">
        <f t="shared" si="28"/>
        <v>0</v>
      </c>
      <c r="OB31" s="215">
        <f t="shared" si="29"/>
        <v>1.0905360035884503E-2</v>
      </c>
      <c r="OC31" s="215">
        <f t="shared" si="30"/>
        <v>1.1321546308384E-3</v>
      </c>
      <c r="OD31" s="215">
        <f t="shared" si="31"/>
        <v>3.5913395997337286E-3</v>
      </c>
      <c r="OE31" s="215" t="str">
        <f t="shared" si="32"/>
        <v/>
      </c>
      <c r="OF31" s="215" t="str">
        <f t="shared" si="33"/>
        <v/>
      </c>
      <c r="OG31" s="215" t="str">
        <f t="shared" si="34"/>
        <v/>
      </c>
      <c r="OH31" s="215">
        <f t="shared" si="35"/>
        <v>9.5261809113170136E-3</v>
      </c>
      <c r="OI31" s="215">
        <f t="shared" ref="OI31:OI41" si="112">IF($NQ$25="","",IF($NC31=0,"",$NC31))</f>
        <v>7.3206080000000007E-2</v>
      </c>
      <c r="OJ31" s="218">
        <f t="shared" ref="OJ31:OJ41" si="113">IF(OR($CA31="",$BV31=""),"",IF($BV31=0,0,$CA31/$BV31))</f>
        <v>0.10175864492611113</v>
      </c>
      <c r="OK31" s="218">
        <f t="shared" ref="OK31:OK41" si="114">IF(OR($CC31="",$BV31=""),"",IF($BV31=0,0,$CC31/$BV31))</f>
        <v>9.4754549493885801E-2</v>
      </c>
      <c r="OL31" s="218" t="str">
        <f t="shared" ref="OL31:OL41" si="115">IF(OR($FO31="",$FH31=""),"",IF($FH31=0,0,$FO31/$FH31))</f>
        <v/>
      </c>
      <c r="OM31" s="218" t="str">
        <f t="shared" ref="OM31:OM41" si="116">IF(OR($FP31="",$FH31=""),"",IF($FH31=0,0,$FP31/$FH31))</f>
        <v/>
      </c>
      <c r="ON31" s="217">
        <f t="shared" si="36"/>
        <v>0.33712515640931379</v>
      </c>
      <c r="OO31" s="210"/>
      <c r="OP31" s="210"/>
      <c r="OQ31" s="218" t="str">
        <f t="shared" ref="OQ31:OQ41" si="117">IF(OR($FM31="",$FH31=""),"",IF($FH31=0,0,$FM31/$FH31))</f>
        <v/>
      </c>
      <c r="OR31" s="218" t="str">
        <f t="shared" ref="OR31:OR41" si="118">IF(OR($FN31="",$FH31=""),"",IF($FH31=0,0,$FN31/$FH31))</f>
        <v/>
      </c>
      <c r="OS31" s="218">
        <f t="shared" si="37"/>
        <v>0.86727755983204524</v>
      </c>
      <c r="OT31" s="218">
        <f t="shared" si="38"/>
        <v>0.98164452553350912</v>
      </c>
      <c r="OU31" s="209" t="str">
        <f t="shared" si="39"/>
        <v/>
      </c>
      <c r="OV31" s="209" t="str">
        <f t="shared" si="40"/>
        <v/>
      </c>
      <c r="OW31" s="209">
        <f t="shared" ref="OW31:OW41" si="119">IF(OR($BZ31="",$BV31=""),"",IF($BV31=0,0,$BZ31/$BV31))</f>
        <v>5.9533071899679881E-3</v>
      </c>
      <c r="OX31" s="219" t="str">
        <f t="shared" si="41"/>
        <v/>
      </c>
      <c r="OY31" s="208">
        <f t="shared" ref="OY31:OY41" si="120">IF(OR($DJ31="",$DK31=""),"",$DJ31+$DK31)</f>
        <v>14929334</v>
      </c>
      <c r="OZ31" s="208">
        <f t="shared" si="42"/>
        <v>2213740</v>
      </c>
      <c r="PA31" s="209">
        <f t="shared" ref="PA31:PA40" si="121">IF(OR($OZ31="",$OY31=""),"",IF($OY31=0,0,$OZ31/$OY31))</f>
        <v>0.14828122942389793</v>
      </c>
      <c r="PB31" s="209">
        <f>IF(OR($CQ31="",$OZ31=""),"",IF($OZ31=0,0,
GuardLimitUpper(
  ($OZ31-$CQ31)/$OZ31,
  data_GuardLimitFlag,
  1)
))</f>
        <v>0.30670223242115152</v>
      </c>
      <c r="PC31" s="209" t="str">
        <f t="shared" si="43"/>
        <v/>
      </c>
      <c r="PD31" s="209" t="str">
        <f t="shared" si="44"/>
        <v/>
      </c>
      <c r="PE31" s="208">
        <f t="shared" ref="PE31:PE41" si="122">IF($OY$25="","",IF(OR($AO31="",$AQ31="",$AR31=""),"",$AO31-$AQ31-$AR31))</f>
        <v>1539058</v>
      </c>
      <c r="PF31" s="209">
        <f t="shared" ref="PF31:PF41" si="123">IF(OR($PE31="",$OY31=""),"",IF($OY31=0,0,$PE31/$OY31))</f>
        <v>0.1030895283071569</v>
      </c>
      <c r="PG31" s="209">
        <f t="shared" si="45"/>
        <v>6.9484061029538843E-2</v>
      </c>
      <c r="PH31" s="209" t="str">
        <f t="shared" si="46"/>
        <v/>
      </c>
      <c r="PI31" s="209" t="str">
        <f t="shared" si="47"/>
        <v/>
      </c>
      <c r="PJ31" s="220" t="str">
        <f t="shared" si="48"/>
        <v/>
      </c>
      <c r="PK31" s="220" t="str">
        <f t="shared" si="49"/>
        <v/>
      </c>
      <c r="PL31" s="221">
        <f t="shared" ref="PL31:PL41" si="124">IF($O$8="Lv2",  IF($DL31="","",IF($CT31="",$DL31,
GuardLimitLower(
  $DL31-$CT31,
  data_GuardLimitFlag,
  0)
)),
                               IF(OR($DL31="",$HQ31="",$GS31="",$HR31="",$HK31="",$CT31="",$GU31=""),"",
GuardLimitLower(
  ($DL31-$HQ31)-($GS31+$HR31+$HK31+$CT31+$GU31),
  data_GuardLimitFlag,
  0)
))</f>
        <v>6689159</v>
      </c>
      <c r="PM31" s="221" t="str">
        <f t="shared" si="50"/>
        <v/>
      </c>
      <c r="PN31" s="221">
        <f t="shared" ref="PN31:PN41" si="125">IF($CT31="","",$CT31)</f>
        <v>0</v>
      </c>
      <c r="PO31" s="221" t="str">
        <f t="shared" si="51"/>
        <v/>
      </c>
      <c r="PP31" s="221" t="str">
        <f t="shared" si="52"/>
        <v/>
      </c>
      <c r="PQ31" s="529" t="str">
        <f t="shared" ref="PQ31:PQ41" si="126">IF($O$8="Lv2","",IF($IU31="","",$IU31))</f>
        <v/>
      </c>
      <c r="PR31" s="221" t="str">
        <f t="shared" si="53"/>
        <v/>
      </c>
      <c r="PS31" s="221">
        <f t="shared" si="54"/>
        <v>5848140</v>
      </c>
      <c r="PT31" s="221">
        <f t="shared" ref="PT31:PT41" si="127">IF($O$8="Lv2",  IF($DM31="","",IF($CU31="",$DM31,
GuardLimitLower(
  $DM31-$CU31,
  data_GuardLimitFlag,
  0)
)),
                               IF(OR($DM31="",$HO31="",$GT31="",$HL31="",$CU31=""),"",
GuardLimitLower(
  ($DM31-$HO31)-($GT31+$HL31+$CU31),
  data_GuardLimitFlag,
  0)
))</f>
        <v>1886489</v>
      </c>
      <c r="PU31" s="221" t="str">
        <f t="shared" si="55"/>
        <v/>
      </c>
      <c r="PV31" s="221">
        <f t="shared" ref="PV31:PV41" si="128">IF($CU31="","",$CU31)</f>
        <v>0</v>
      </c>
      <c r="PW31" s="221" t="str">
        <f t="shared" si="56"/>
        <v/>
      </c>
      <c r="PX31" s="221" t="str">
        <f>IF($O$8="Lv2","",IF($IV31="","",$IV31))</f>
        <v/>
      </c>
      <c r="PY31" s="221">
        <f t="shared" si="57"/>
        <v>505546</v>
      </c>
      <c r="PZ31" s="221" t="str">
        <f t="shared" si="58"/>
        <v/>
      </c>
      <c r="QA31" s="221" t="str">
        <f t="shared" si="59"/>
        <v/>
      </c>
      <c r="QB31" s="221" t="str">
        <f t="shared" si="60"/>
        <v/>
      </c>
      <c r="QC31" s="221" t="str">
        <f t="shared" si="61"/>
        <v/>
      </c>
      <c r="QD31" s="221">
        <f t="shared" ref="QD31:QD41" si="129">IF(OR($DG31="",$DH31="",$DI31=""),"",$DG31-($DH31+$DI31))</f>
        <v>14530691</v>
      </c>
      <c r="QE31" s="221">
        <f t="shared" ref="QE31:QE41" si="130">IF($DH31="","",$DH31)</f>
        <v>9704856</v>
      </c>
      <c r="QF31" s="221">
        <f t="shared" ref="QF31:QF41" si="131">IF($DI31="","",$DI31)</f>
        <v>771402</v>
      </c>
      <c r="QG31" s="222" t="str">
        <f t="shared" si="62"/>
        <v/>
      </c>
      <c r="QH31" s="222" t="str">
        <f t="shared" si="63"/>
        <v/>
      </c>
      <c r="QI31" s="222" t="str">
        <f t="shared" si="64"/>
        <v/>
      </c>
      <c r="QJ31" s="222" t="str">
        <f t="shared" si="65"/>
        <v/>
      </c>
      <c r="QK31" s="222" t="str">
        <f t="shared" si="66"/>
        <v/>
      </c>
      <c r="QL31" s="222" t="str">
        <f t="shared" ref="QL31:QL41" si="132">IF($O$8="Lv2","",IF($JA31="","",$JA31))</f>
        <v/>
      </c>
      <c r="QM31" s="222">
        <f>IF(OR($O$8="Lv2",$O$8="Lv3",$O$8="Lv4"),IF(OR($AS31="",COUNT($PL31:$QL31)=0),"",
GuardLimitLower(
  $AS31-SUM($PL31:$QL31),
  data_GuardLimitFlag,
  0)
),"")</f>
        <v>40139302</v>
      </c>
      <c r="QN31" s="222">
        <f t="shared" ref="QN31:QN41" si="133">IF(OR($O$8="Lv2",$O$8="Lv3",$O$8="Lv4"),IF($AS31="","",$AS31),"")</f>
        <v>80075585</v>
      </c>
      <c r="QO31" s="222" t="str">
        <f t="shared" ref="QO31:QO41" si="134">IF(OR($EU31="",$C$11="",$EW31="",$AM31="",$AN31=""),"",$EU31*$C$11+$EW31)</f>
        <v/>
      </c>
      <c r="QP31" s="222" t="str">
        <f t="shared" ref="QP31:QP41" si="135">IF(OR($EV31="",$C$11="",$EX31="",$AM31="",$AN31=""),"",$EV31*$C$11+$EX31)</f>
        <v/>
      </c>
      <c r="QQ31" s="222" t="str">
        <f t="shared" ref="QQ31:QQ41" si="136">IF(OR($AM31="",$EV31="",$EU31="",$C$11="",$AN31="",$EX31="",$EW31=""),"",($AM31-$EV31-$EU31)*$C$11+($AN31-$EX31-$EW31))</f>
        <v/>
      </c>
      <c r="QR31" s="222">
        <f t="shared" si="67"/>
        <v>3.293077779245869</v>
      </c>
      <c r="QS31" s="209" t="str">
        <f t="shared" si="68"/>
        <v/>
      </c>
      <c r="QT31" s="209" t="str">
        <f t="shared" si="69"/>
        <v/>
      </c>
      <c r="QU31" s="209" t="str">
        <f t="shared" si="70"/>
        <v/>
      </c>
      <c r="QV31" s="208" t="str">
        <f t="shared" si="71"/>
        <v/>
      </c>
      <c r="QW31" s="208" t="str">
        <f t="shared" si="72"/>
        <v/>
      </c>
      <c r="QX31" s="208" t="str">
        <f t="shared" si="73"/>
        <v/>
      </c>
      <c r="QY31" s="208" t="str">
        <f t="shared" si="74"/>
        <v/>
      </c>
      <c r="QZ31" s="208" t="str">
        <f t="shared" si="75"/>
        <v/>
      </c>
      <c r="RA31" s="209" t="str">
        <f t="shared" ref="RA31:RA41" si="137">IF(OR($IF31="",$IC31=""),"",IF($IC31=0,0,
GuardLimitUpper(
  $IF31/$IC31,
  data_GuardLimitFlag,
  1)
))</f>
        <v/>
      </c>
      <c r="RB31" s="209" t="str">
        <f t="shared" si="76"/>
        <v/>
      </c>
      <c r="RC31" s="209" t="str">
        <f t="shared" si="77"/>
        <v/>
      </c>
      <c r="RD31" s="209" t="str">
        <f t="shared" si="78"/>
        <v/>
      </c>
      <c r="RE31" s="209" t="str">
        <f t="shared" si="79"/>
        <v/>
      </c>
      <c r="RF31" s="209" t="str">
        <f t="shared" si="80"/>
        <v/>
      </c>
      <c r="RG31" s="209" t="str">
        <f t="shared" si="81"/>
        <v/>
      </c>
      <c r="RH31" s="209" t="str">
        <f t="shared" si="82"/>
        <v/>
      </c>
      <c r="RI31" s="209" t="str">
        <f t="shared" si="83"/>
        <v/>
      </c>
      <c r="RJ31" s="223" t="s">
        <v>72</v>
      </c>
      <c r="RK31" s="222" t="str">
        <f>IF(OR(COUNT(LR30:LR41)=0,$C$8="",$NC$42=""),"",IF($NC$42=0,0,AVERAGE(LR30:LR41)*$C$8/10^9/$NC$42))</f>
        <v/>
      </c>
      <c r="RL31" s="222" t="str">
        <f>IF(COUNT($RL45:$RL56)=0,"",AVERAGE($RL45:$RL56))</f>
        <v/>
      </c>
      <c r="RM31" s="224"/>
      <c r="RN31" s="224"/>
      <c r="RO31" s="224"/>
      <c r="RP31" s="222" t="str">
        <f>IF(OR(COUNT($LS30:$LS41)=0,$C$8="",$NC$42=""),"",IF($NC$42=0,0,AVERAGE($LS30:$LS41)*$C$8/10^9/$NC$42))</f>
        <v/>
      </c>
      <c r="RQ31" s="222" t="str">
        <f>IF(OR(COUNT($LT30:$LT41)=0,$C$8="",$NC$42=""),"",IF($NC$42=0,0,AVERAGE($LT30:$LT41)*$C$8/10^9/$NC$42))</f>
        <v/>
      </c>
      <c r="RR31" s="222" t="str">
        <f t="shared" si="84"/>
        <v/>
      </c>
      <c r="RS31" s="224"/>
      <c r="RT31" s="224"/>
      <c r="RU31" s="208">
        <f t="shared" ref="RU31:RU41" si="138">IF(OR($AK31="",$C$4=""),"",$AK31/$C$4)</f>
        <v>7.3206080000000007E-2</v>
      </c>
      <c r="RV31" s="208">
        <f t="shared" ref="RV31:RV41" si="139">IF(OR($AL31="",$AL31=""),"",IF($AL31=0,0,$AL31/$AL31))</f>
        <v>1</v>
      </c>
      <c r="RW31" s="208">
        <f t="shared" ref="RW31:RW41" si="140">IF(OR($BD31="",$AL31=""),"",IF($AL31=0,0,$BD31/$AL31))</f>
        <v>0.9963651151114461</v>
      </c>
      <c r="RX31" s="208">
        <f t="shared" ref="RX31:RX41" si="141">IF(OR($BV31="",$AL31=""),"",IF($AL31=0,0,$BV31/$AL31))</f>
        <v>0.99342968651306018</v>
      </c>
      <c r="RY31" s="208">
        <f t="shared" ref="RY31:RY41" si="142">IF(OR($CN31="",$AL31=""),"",IF($AL31=0,0,$CN31/$AL31))</f>
        <v>0.99117436736707576</v>
      </c>
      <c r="RZ31" s="208">
        <f t="shared" si="85"/>
        <v>0.98685438497244593</v>
      </c>
      <c r="SA31" s="208" t="str">
        <f t="shared" si="86"/>
        <v/>
      </c>
      <c r="SB31" s="208" t="str">
        <f t="shared" si="87"/>
        <v/>
      </c>
      <c r="SC31" s="208" t="str">
        <f t="shared" si="88"/>
        <v/>
      </c>
      <c r="SD31" s="208" t="str">
        <f t="shared" si="89"/>
        <v/>
      </c>
      <c r="SE31" s="208" t="str">
        <f t="shared" si="90"/>
        <v/>
      </c>
      <c r="SF31" s="208" t="str">
        <f t="shared" si="91"/>
        <v/>
      </c>
      <c r="SG31" s="208" t="str">
        <f t="shared" si="92"/>
        <v/>
      </c>
      <c r="SH31" s="208" t="str">
        <f t="shared" si="93"/>
        <v/>
      </c>
      <c r="SI31" s="208" t="str">
        <f t="shared" si="94"/>
        <v/>
      </c>
      <c r="SJ31" s="208" t="str">
        <f t="shared" si="95"/>
        <v/>
      </c>
      <c r="SK31" s="208" t="str">
        <f t="shared" si="96"/>
        <v/>
      </c>
      <c r="SL31" s="208" t="str">
        <f t="shared" si="97"/>
        <v/>
      </c>
      <c r="SM31" s="222">
        <f t="shared" ref="SM31:SM41" si="143">IF($AJ31="","",$AJ31)</f>
        <v>3</v>
      </c>
      <c r="SN31" s="225">
        <f t="shared" si="98"/>
        <v>2.440202666666667E-2</v>
      </c>
      <c r="SO31" s="209">
        <f t="shared" ref="SO31:SO40" si="144">IF(OR($OI31="",$OC31="",COUNT($OI$30:$OI$41)=0),"",IF(MAX($OI$30:$OI$41)=0,0,($OI31-$OC31)/MAX($OI$30:$OI$41)))</f>
        <v>0.98391535989056988</v>
      </c>
      <c r="SP31" s="209">
        <f t="shared" ref="SP31:SP40" si="145">IF(OR($NH31="",COUNT($NH$30:$NH$41)=0),"",IF(MAX($NH$30:$NH$41)=0,0,$NH31/MAX($NH$30:$NH$41)))</f>
        <v>0.99773373120284004</v>
      </c>
      <c r="SQ31" s="222">
        <f t="shared" ref="SQ31:SQ41" si="146">IF($AL31="","",$AL31)</f>
        <v>158578887</v>
      </c>
      <c r="SR31" s="222">
        <f t="shared" ref="SR31:SR41" si="147">IF($BD31="","",$BD31)</f>
        <v>158002471</v>
      </c>
      <c r="SS31" s="222">
        <f t="shared" ref="SS31:SS41" si="148">IF($BV31="","",$BV31)</f>
        <v>157536974</v>
      </c>
      <c r="ST31" s="222">
        <f t="shared" ref="ST31:ST41" si="149">IF($CN31="","",$CN31)</f>
        <v>157179328</v>
      </c>
      <c r="SU31" s="222">
        <f t="shared" ref="SU31:SU41" si="150">IF($DF31="","",$DF31)</f>
        <v>156494270</v>
      </c>
      <c r="SV31" s="222" t="str">
        <f t="shared" ref="SV31:SV41" si="151">IF($DX31="","",$DX31)</f>
        <v/>
      </c>
      <c r="SW31" s="222" t="str">
        <f t="shared" ref="SW31:SW41" si="152">IF($EP31="","",$EP31)</f>
        <v/>
      </c>
      <c r="SX31" s="222" t="str">
        <f t="shared" ref="SX31:SX41" si="153">IF($FH31="","",$FH31)</f>
        <v/>
      </c>
      <c r="SY31" s="222" t="str">
        <f t="shared" ref="SY31:SY41" si="154">IF($FZ31="","",$FZ31)</f>
        <v/>
      </c>
      <c r="SZ31" s="222" t="str">
        <f t="shared" ref="SZ31:SZ41" si="155">IF($GR31="","",$GR31)</f>
        <v/>
      </c>
      <c r="TA31" s="222" t="str">
        <f t="shared" ref="TA31:TA41" si="156">IF($HJ31="","",$HJ31)</f>
        <v/>
      </c>
      <c r="TB31" s="222" t="str">
        <f t="shared" ref="TB31:TB41" si="157">IF($IB31="","",$IB31)</f>
        <v/>
      </c>
      <c r="TC31" s="222" t="str">
        <f t="shared" si="99"/>
        <v/>
      </c>
      <c r="TD31" s="222" t="str">
        <f t="shared" ref="TD31:TD41" si="158">IF($IT31="","",$IT31)</f>
        <v/>
      </c>
      <c r="TE31" s="222" t="str">
        <f t="shared" ref="TE31:TE41" si="159">IF($KD31="","",$KD31)</f>
        <v/>
      </c>
      <c r="TF31" s="222" t="str">
        <f t="shared" ref="TF31:TF41" si="160">IF($KV31="","",$KV31)</f>
        <v/>
      </c>
      <c r="TG31" s="222" t="str">
        <f t="shared" ref="TG31:TG41" si="161">IF($LN31="","",$LN31)</f>
        <v/>
      </c>
      <c r="TK31" s="239" t="s">
        <v>855</v>
      </c>
      <c r="TL31" s="359">
        <f>IF(NJ42="",0,NJ42)</f>
        <v>0.47727933693294911</v>
      </c>
      <c r="TM31" s="359">
        <f>IF(NE42="",0,NE42)</f>
        <v>5.2193531822290001E-2</v>
      </c>
      <c r="TN31" s="359">
        <f>IF(NG42="",0,NG42)</f>
        <v>0.35323036254772533</v>
      </c>
      <c r="TQ31" s="361"/>
      <c r="TR31" s="362">
        <f>IF(OR($NC$42="",VB31=""),0,$NC$42*VB31)</f>
        <v>7.1819617559806493E-3</v>
      </c>
      <c r="TS31" s="362">
        <f>IF(OR($NC$42="",VC31=""),0,$NC$42*VC31)</f>
        <v>0</v>
      </c>
      <c r="TT31" s="362">
        <f>IF(OR($NC$42="",VD31=""),0,$NC$42*VD31)</f>
        <v>2.4385167925503708E-2</v>
      </c>
      <c r="TU31" s="362">
        <f>IF(OR($NC$42="",VE31=""),0,$NC$42*VE31)</f>
        <v>2.7254841141526112E-2</v>
      </c>
      <c r="TV31" s="362">
        <f>IF(OR($NC$42="",VF31=""),0,$NC$42*VF31)</f>
        <v>2.5712175E-2</v>
      </c>
      <c r="TW31" s="254"/>
      <c r="UC31" s="361"/>
      <c r="UD31" s="363">
        <f>IF(OR($NC$42="",VB31=""),0,$NC$42*VB31)</f>
        <v>7.1819617559806493E-3</v>
      </c>
      <c r="UE31" s="363">
        <f>IF(OR($NC$42="",VC31=""),0,$NC$42*VC31)</f>
        <v>0</v>
      </c>
      <c r="UF31" s="363">
        <f>IF(OR($NC$42="",VD31=""),0,$NC$42*VD31)</f>
        <v>2.4385167925503708E-2</v>
      </c>
      <c r="UG31" s="363">
        <f>IF(OR($NC$42="",VE31=""),0,$NC$42*VE31)</f>
        <v>2.7254841141526112E-2</v>
      </c>
      <c r="UH31" s="363">
        <f>IF(OR($NC$42="",VF31=""),0,$NC$42*VF31)</f>
        <v>2.5712175E-2</v>
      </c>
      <c r="VA31" s="364" t="s">
        <v>457</v>
      </c>
      <c r="VB31" s="365">
        <f>IF(OR(OJ42="",OK42=""),0,(OJ42+OK42)/2)</f>
        <v>9.8664813648356969E-2</v>
      </c>
      <c r="VC31" s="365">
        <f>IF(OR(OL42="",OM42=""),0,(OL42+OM42)/2)</f>
        <v>0</v>
      </c>
      <c r="VD31" s="365">
        <f>IF(ON42="",0,ON42)</f>
        <v>0.33500011986978301</v>
      </c>
      <c r="VE31" s="365">
        <f>IF(OO42="",0,OO42)</f>
        <v>0.3744233001526292</v>
      </c>
      <c r="VF31" s="365">
        <f>IF(OP42="",0,OP42)</f>
        <v>0.35323036254772533</v>
      </c>
      <c r="VI31" s="366" t="s">
        <v>457</v>
      </c>
      <c r="VJ31" s="367">
        <f>IF(PA42="",0,PA42)</f>
        <v>0.15477834184070699</v>
      </c>
      <c r="VK31" s="367">
        <f>IF(PF42="",0,PF42)</f>
        <v>0.10664627972456193</v>
      </c>
      <c r="VM31" s="369" t="s">
        <v>1418</v>
      </c>
      <c r="VN31" s="370">
        <f>IF(OR(PB42="",VJ31=""),0,PB42*VJ31)</f>
        <v>4.8371470026456531E-2</v>
      </c>
      <c r="VO31" s="370">
        <f>IF(OR(PB42="",VJ31=""),0,(1-PB42)*VJ31)</f>
        <v>0.10640687181425047</v>
      </c>
      <c r="VQ31" s="369" t="s">
        <v>1418</v>
      </c>
      <c r="VR31" s="370">
        <f>IF(OR(PB42="",VJ31=""),0,PB42*VJ31)</f>
        <v>4.8371470026456531E-2</v>
      </c>
      <c r="VS31" s="370">
        <f>IF(OR(PC42="",VJ31=""),0,PC42*VJ31)</f>
        <v>0</v>
      </c>
      <c r="VT31" s="370">
        <f>IF(OR(PD42="",VJ31=""),0,PD42*VJ31)</f>
        <v>0</v>
      </c>
      <c r="VV31" s="267" t="s">
        <v>563</v>
      </c>
      <c r="VW31" s="549">
        <f>IF(RR42="",0,RR42)</f>
        <v>0</v>
      </c>
      <c r="VX31" s="549">
        <f>IF(RS42="",0,RS42)</f>
        <v>0</v>
      </c>
      <c r="VY31" s="549">
        <f>IF(RT42="",0,RT42)</f>
        <v>0</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13</v>
      </c>
      <c r="AG32" s="430">
        <v>2</v>
      </c>
      <c r="AH32" s="430" t="s">
        <v>1975</v>
      </c>
      <c r="AI32" s="430">
        <v>1</v>
      </c>
      <c r="AJ32" s="430">
        <v>3</v>
      </c>
      <c r="AK32" s="594">
        <v>7322240</v>
      </c>
      <c r="AL32" s="594">
        <v>158576241</v>
      </c>
      <c r="AM32" s="430">
        <v>65327900</v>
      </c>
      <c r="AN32" s="430">
        <v>36325</v>
      </c>
      <c r="AO32" s="430">
        <v>1570786</v>
      </c>
      <c r="AP32" s="430">
        <v>602481</v>
      </c>
      <c r="AQ32" s="595">
        <v>13620</v>
      </c>
      <c r="AR32" s="595">
        <v>17591</v>
      </c>
      <c r="AS32" s="594">
        <v>79664782</v>
      </c>
      <c r="AT32" s="594">
        <v>37500590</v>
      </c>
      <c r="AU32" s="430" t="s">
        <v>1974</v>
      </c>
      <c r="AV32" s="430" t="s">
        <v>1964</v>
      </c>
      <c r="AW32" s="430">
        <v>0</v>
      </c>
      <c r="AX32" s="430">
        <v>1</v>
      </c>
      <c r="AY32" s="430">
        <v>2</v>
      </c>
      <c r="AZ32" s="430" t="s">
        <v>1975</v>
      </c>
      <c r="BA32" s="430">
        <v>1</v>
      </c>
      <c r="BB32" s="430">
        <v>3</v>
      </c>
      <c r="BC32" s="430">
        <v>7275200</v>
      </c>
      <c r="BD32" s="430">
        <v>158089483</v>
      </c>
      <c r="BE32" s="430">
        <v>130185238</v>
      </c>
      <c r="BF32" s="595">
        <v>7508010</v>
      </c>
      <c r="BG32" s="430">
        <v>58219378</v>
      </c>
      <c r="BH32" s="595">
        <v>1904383</v>
      </c>
      <c r="BI32" s="430">
        <v>36927886</v>
      </c>
      <c r="BJ32" s="430">
        <v>32113042</v>
      </c>
      <c r="BK32" s="430">
        <v>0</v>
      </c>
      <c r="BL32" s="430">
        <v>3566940</v>
      </c>
      <c r="BM32" s="430" t="s">
        <v>1974</v>
      </c>
      <c r="BN32" s="430" t="s">
        <v>1964</v>
      </c>
      <c r="BO32" s="430">
        <v>0</v>
      </c>
      <c r="BP32" s="430">
        <v>1</v>
      </c>
      <c r="BQ32" s="430">
        <v>2</v>
      </c>
      <c r="BR32" s="430" t="s">
        <v>1975</v>
      </c>
      <c r="BS32" s="430">
        <v>1</v>
      </c>
      <c r="BT32" s="430">
        <v>3</v>
      </c>
      <c r="BU32" s="430">
        <v>7252576</v>
      </c>
      <c r="BV32" s="430">
        <v>157689883</v>
      </c>
      <c r="BW32" s="594">
        <v>54729459</v>
      </c>
      <c r="BX32" s="594">
        <v>51187152</v>
      </c>
      <c r="BY32" s="430">
        <v>118526489</v>
      </c>
      <c r="BZ32" s="430">
        <v>899701</v>
      </c>
      <c r="CA32" s="430">
        <v>16023899</v>
      </c>
      <c r="CB32" s="430">
        <v>222359402</v>
      </c>
      <c r="CC32" s="430">
        <v>14921787</v>
      </c>
      <c r="CD32" s="430">
        <v>234367406</v>
      </c>
      <c r="CE32" s="430" t="s">
        <v>1974</v>
      </c>
      <c r="CF32" s="430" t="s">
        <v>1964</v>
      </c>
      <c r="CG32" s="430">
        <v>0</v>
      </c>
      <c r="CH32" s="430">
        <v>1</v>
      </c>
      <c r="CI32" s="430">
        <v>2</v>
      </c>
      <c r="CJ32" s="430" t="s">
        <v>1975</v>
      </c>
      <c r="CK32" s="430">
        <v>1</v>
      </c>
      <c r="CL32" s="430">
        <v>3</v>
      </c>
      <c r="CM32" s="430">
        <v>7236672</v>
      </c>
      <c r="CN32" s="430">
        <v>157337583</v>
      </c>
      <c r="CO32" s="430">
        <v>13174</v>
      </c>
      <c r="CP32" s="430">
        <v>2202642</v>
      </c>
      <c r="CQ32" s="430">
        <v>1530847</v>
      </c>
      <c r="CR32" s="430">
        <v>1582517</v>
      </c>
      <c r="CS32" s="430">
        <v>130720</v>
      </c>
      <c r="CT32" s="430">
        <v>0</v>
      </c>
      <c r="CU32" s="430">
        <v>0</v>
      </c>
      <c r="CV32" s="430">
        <v>16909</v>
      </c>
      <c r="CW32" s="430" t="s">
        <v>1974</v>
      </c>
      <c r="CX32" s="430" t="s">
        <v>1964</v>
      </c>
      <c r="CY32" s="430">
        <v>0</v>
      </c>
      <c r="CZ32" s="430">
        <v>1</v>
      </c>
      <c r="DA32" s="430">
        <v>2</v>
      </c>
      <c r="DB32" s="430" t="s">
        <v>1975</v>
      </c>
      <c r="DC32" s="430">
        <v>1</v>
      </c>
      <c r="DD32" s="430">
        <v>3</v>
      </c>
      <c r="DE32" s="430">
        <v>7235136</v>
      </c>
      <c r="DF32" s="430">
        <v>157005707</v>
      </c>
      <c r="DG32" s="430">
        <v>25006949</v>
      </c>
      <c r="DH32" s="430">
        <v>9704856</v>
      </c>
      <c r="DI32" s="430">
        <v>771402</v>
      </c>
      <c r="DJ32" s="430">
        <v>12363309</v>
      </c>
      <c r="DK32" s="430">
        <v>2422648</v>
      </c>
      <c r="DL32" s="430">
        <v>6689159</v>
      </c>
      <c r="DM32" s="430">
        <v>1886489</v>
      </c>
      <c r="DN32" s="430">
        <v>9740741</v>
      </c>
      <c r="DO32" s="595"/>
      <c r="DP32" s="595"/>
      <c r="DQ32" s="595"/>
      <c r="DR32" s="595"/>
      <c r="DS32" s="595"/>
      <c r="DT32" s="595"/>
      <c r="DU32" s="595"/>
      <c r="DV32" s="595"/>
      <c r="DW32" s="595"/>
      <c r="DX32" s="595"/>
      <c r="DY32" s="595"/>
      <c r="DZ32" s="595"/>
      <c r="EA32" s="595"/>
      <c r="EB32" s="430"/>
      <c r="EC32" s="595"/>
      <c r="ED32" s="595"/>
      <c r="EE32" s="595"/>
      <c r="EF32" s="595"/>
      <c r="EG32" s="595"/>
      <c r="EH32" s="595"/>
      <c r="EI32" s="595"/>
      <c r="EJ32" s="595"/>
      <c r="EK32" s="595"/>
      <c r="EL32" s="595"/>
      <c r="EM32" s="595"/>
      <c r="EN32" s="595"/>
      <c r="EO32" s="595"/>
      <c r="EP32" s="595"/>
      <c r="EQ32" s="595"/>
      <c r="ER32" s="595"/>
      <c r="ES32" s="430"/>
      <c r="ET32" s="595"/>
      <c r="EU32" s="595"/>
      <c r="EV32" s="595"/>
      <c r="EW32" s="595"/>
      <c r="EX32" s="595"/>
      <c r="EY32" s="595"/>
      <c r="EZ32" s="595"/>
      <c r="FA32" s="595"/>
      <c r="FB32" s="595"/>
      <c r="FC32" s="595"/>
      <c r="FD32" s="595"/>
      <c r="FE32" s="595"/>
      <c r="FF32" s="595"/>
      <c r="FG32" s="595"/>
      <c r="FH32" s="595"/>
      <c r="FI32" s="595"/>
      <c r="FJ32" s="595"/>
      <c r="FK32" s="595"/>
      <c r="FL32" s="595"/>
      <c r="FM32" s="595"/>
      <c r="FN32" s="595"/>
      <c r="FO32" s="430"/>
      <c r="FP32" s="430"/>
      <c r="FQ32" s="595"/>
      <c r="FR32" s="595"/>
      <c r="FS32" s="595"/>
      <c r="FT32" s="595"/>
      <c r="FU32" s="595"/>
      <c r="FV32" s="595"/>
      <c r="FW32" s="595"/>
      <c r="FX32" s="595"/>
      <c r="FY32" s="595"/>
      <c r="FZ32" s="595"/>
      <c r="GA32" s="595"/>
      <c r="GB32" s="595"/>
      <c r="GC32" s="595"/>
      <c r="GD32" s="595"/>
      <c r="GE32" s="595"/>
      <c r="GF32" s="595"/>
      <c r="GG32" s="595"/>
      <c r="GH32" s="595"/>
      <c r="GI32" s="595"/>
      <c r="GJ32" s="595"/>
      <c r="GK32" s="595"/>
      <c r="GL32" s="595"/>
      <c r="GM32" s="595"/>
      <c r="GN32" s="595"/>
      <c r="GO32" s="595"/>
      <c r="GP32" s="595"/>
      <c r="GQ32" s="595"/>
      <c r="GR32" s="595"/>
      <c r="GS32" s="595"/>
      <c r="GT32" s="595"/>
      <c r="GU32" s="595"/>
      <c r="GV32" s="595"/>
      <c r="GW32" s="595"/>
      <c r="GX32" s="595"/>
      <c r="GY32" s="595"/>
      <c r="GZ32" s="595"/>
      <c r="HA32" s="595"/>
      <c r="HB32" s="595"/>
      <c r="HC32" s="595"/>
      <c r="HD32" s="595"/>
      <c r="HE32" s="595"/>
      <c r="HF32" s="595"/>
      <c r="HG32" s="595"/>
      <c r="HH32" s="595"/>
      <c r="HI32" s="595"/>
      <c r="HJ32" s="595"/>
      <c r="HK32" s="595"/>
      <c r="HL32" s="595"/>
      <c r="HM32" s="595"/>
      <c r="HN32" s="595"/>
      <c r="HO32" s="595"/>
      <c r="HP32" s="595"/>
      <c r="HQ32" s="595"/>
      <c r="HR32" s="595"/>
      <c r="HS32" s="595"/>
      <c r="HT32" s="595"/>
      <c r="HU32" s="595"/>
      <c r="HV32" s="595"/>
      <c r="HW32" s="595"/>
      <c r="HX32" s="595"/>
      <c r="HY32" s="595"/>
      <c r="HZ32" s="595"/>
      <c r="IA32" s="595"/>
      <c r="IB32" s="595"/>
      <c r="IC32" s="595"/>
      <c r="ID32" s="595"/>
      <c r="IE32" s="595"/>
      <c r="IF32" s="595"/>
      <c r="IG32" s="595"/>
      <c r="IH32" s="595"/>
      <c r="II32" s="595"/>
      <c r="IJ32" s="595"/>
      <c r="IK32" s="595"/>
      <c r="IL32" s="595"/>
      <c r="IM32" s="595"/>
      <c r="IN32" s="595"/>
      <c r="IO32" s="595"/>
      <c r="IP32" s="595"/>
      <c r="IQ32" s="595"/>
      <c r="IR32" s="595"/>
      <c r="IS32" s="595"/>
      <c r="IT32" s="595"/>
      <c r="IU32" s="595"/>
      <c r="IV32" s="595"/>
      <c r="IW32" s="595"/>
      <c r="IX32" s="595"/>
      <c r="IY32" s="595"/>
      <c r="IZ32" s="595"/>
      <c r="JA32" s="595"/>
      <c r="JB32" s="595"/>
      <c r="JC32" s="595"/>
      <c r="JD32" s="595"/>
      <c r="JE32" s="595"/>
      <c r="JF32" s="595"/>
      <c r="JG32" s="595"/>
      <c r="JH32" s="595"/>
      <c r="JI32" s="595"/>
      <c r="JJ32" s="595"/>
      <c r="JK32" s="595"/>
      <c r="JL32" s="595"/>
      <c r="JM32" s="595"/>
      <c r="JN32" s="595"/>
      <c r="JO32" s="595"/>
      <c r="JP32" s="595"/>
      <c r="JQ32" s="595"/>
      <c r="JR32" s="595"/>
      <c r="JS32" s="595"/>
      <c r="JT32" s="595"/>
      <c r="JU32" s="595"/>
      <c r="JV32" s="595"/>
      <c r="JW32" s="595"/>
      <c r="JX32" s="595"/>
      <c r="JY32" s="595"/>
      <c r="JZ32" s="595"/>
      <c r="KA32" s="595"/>
      <c r="KB32" s="595"/>
      <c r="KC32" s="595"/>
      <c r="KD32" s="595"/>
      <c r="KE32" s="595"/>
      <c r="KF32" s="595"/>
      <c r="KG32" s="595"/>
      <c r="KH32" s="595"/>
      <c r="KI32" s="595"/>
      <c r="KJ32" s="595"/>
      <c r="KK32" s="595"/>
      <c r="KL32" s="595"/>
      <c r="KM32" s="595"/>
      <c r="KN32" s="595"/>
      <c r="KO32" s="595"/>
      <c r="KP32" s="595"/>
      <c r="KQ32" s="595"/>
      <c r="KR32" s="595"/>
      <c r="KS32" s="595"/>
      <c r="KT32" s="595"/>
      <c r="KU32" s="595"/>
      <c r="KV32" s="595"/>
      <c r="KW32" s="595"/>
      <c r="KX32" s="595"/>
      <c r="KY32" s="595"/>
      <c r="KZ32" s="595"/>
      <c r="LA32" s="595"/>
      <c r="LB32" s="595"/>
      <c r="LC32" s="595"/>
      <c r="LD32" s="595"/>
      <c r="LE32" s="595"/>
      <c r="LF32" s="595"/>
      <c r="LG32" s="595"/>
      <c r="LH32" s="595"/>
      <c r="LI32" s="595"/>
      <c r="LJ32" s="595"/>
      <c r="LK32" s="595"/>
      <c r="LL32" s="595"/>
      <c r="LM32" s="595"/>
      <c r="LN32" s="595"/>
      <c r="LO32" s="595"/>
      <c r="LP32" s="595"/>
      <c r="LQ32" s="595"/>
      <c r="LR32" s="595"/>
      <c r="LS32" s="595"/>
      <c r="LT32" s="595"/>
      <c r="LU32" s="595"/>
      <c r="LV32" s="595"/>
      <c r="MC32" s="252" t="s">
        <v>857</v>
      </c>
      <c r="MD32" s="371"/>
      <c r="ME32" s="372"/>
      <c r="MF32" s="372"/>
      <c r="MG32" s="372"/>
      <c r="MH32" s="372"/>
      <c r="MI32" s="372"/>
      <c r="MJ32" s="372"/>
      <c r="MK32" s="372"/>
      <c r="ML32" s="372"/>
      <c r="MM32" s="372"/>
      <c r="MN32" s="372"/>
      <c r="MO32" s="372"/>
      <c r="MP32" s="372"/>
      <c r="MQ32" s="372"/>
      <c r="MR32" s="372"/>
      <c r="MS32" s="372"/>
      <c r="MT32" s="373"/>
      <c r="NA32" s="424">
        <f t="shared" si="100"/>
        <v>13</v>
      </c>
      <c r="NB32" s="424">
        <f t="shared" si="101"/>
        <v>2</v>
      </c>
      <c r="NC32" s="207">
        <f t="shared" si="102"/>
        <v>7.3222400000000007E-2</v>
      </c>
      <c r="ND32" s="208">
        <f t="shared" si="103"/>
        <v>3.569234619460711</v>
      </c>
      <c r="NE32" s="209">
        <f t="shared" si="15"/>
        <v>5.133797555861537E-2</v>
      </c>
      <c r="NF32" s="208">
        <f t="shared" si="16"/>
        <v>7.4890516563237464</v>
      </c>
      <c r="NG32" s="210"/>
      <c r="NH32" s="211">
        <f t="shared" si="104"/>
        <v>79664782</v>
      </c>
      <c r="NI32" s="208">
        <f t="shared" si="17"/>
        <v>261347925</v>
      </c>
      <c r="NJ32" s="212">
        <f t="shared" si="105"/>
        <v>0.4707298389393697</v>
      </c>
      <c r="NK32" s="213">
        <f t="shared" si="106"/>
        <v>0.99986100903613451</v>
      </c>
      <c r="NL32" s="214">
        <f t="shared" si="18"/>
        <v>0.92243634540853292</v>
      </c>
      <c r="NM32" s="208">
        <f t="shared" si="107"/>
        <v>0.50237527070653665</v>
      </c>
      <c r="NN32" s="208">
        <f t="shared" si="19"/>
        <v>1.0879837590682633</v>
      </c>
      <c r="NO32" s="215">
        <f t="shared" si="20"/>
        <v>8.8205420837007874E-4</v>
      </c>
      <c r="NP32" s="216" t="str">
        <f t="shared" si="108"/>
        <v/>
      </c>
      <c r="NQ32" s="215" t="str">
        <f t="shared" si="109"/>
        <v/>
      </c>
      <c r="NR32" s="215" t="str">
        <f t="shared" si="110"/>
        <v/>
      </c>
      <c r="NS32" s="215" t="str">
        <f t="shared" si="21"/>
        <v/>
      </c>
      <c r="NT32" s="215" t="str">
        <f t="shared" si="22"/>
        <v/>
      </c>
      <c r="NU32" s="215">
        <f t="shared" si="23"/>
        <v>2.6083449775643835E-2</v>
      </c>
      <c r="NV32" s="215" t="str">
        <f t="shared" si="111"/>
        <v/>
      </c>
      <c r="NW32" s="215" t="str">
        <f t="shared" si="24"/>
        <v/>
      </c>
      <c r="NX32" s="215">
        <f t="shared" si="25"/>
        <v>1.7103910953054354E-2</v>
      </c>
      <c r="NY32" s="215" t="str">
        <f t="shared" si="26"/>
        <v/>
      </c>
      <c r="NZ32" s="215">
        <f t="shared" si="27"/>
        <v>1.3547424965441883E-3</v>
      </c>
      <c r="OA32" s="215">
        <f t="shared" si="28"/>
        <v>0</v>
      </c>
      <c r="OB32" s="215">
        <f t="shared" si="29"/>
        <v>1.3221715065541711E-2</v>
      </c>
      <c r="OC32" s="215">
        <f t="shared" si="30"/>
        <v>1.6521017242873773E-3</v>
      </c>
      <c r="OD32" s="215">
        <f t="shared" si="31"/>
        <v>3.4774894635084615E-3</v>
      </c>
      <c r="OE32" s="215" t="str">
        <f t="shared" si="32"/>
        <v/>
      </c>
      <c r="OF32" s="215" t="str">
        <f t="shared" si="33"/>
        <v/>
      </c>
      <c r="OG32" s="215" t="str">
        <f t="shared" si="34"/>
        <v/>
      </c>
      <c r="OH32" s="215">
        <f t="shared" si="35"/>
        <v>9.4469363130499969E-3</v>
      </c>
      <c r="OI32" s="215">
        <f t="shared" si="112"/>
        <v>7.3222400000000007E-2</v>
      </c>
      <c r="OJ32" s="218">
        <f t="shared" si="113"/>
        <v>0.10161653173399843</v>
      </c>
      <c r="OK32" s="218">
        <f t="shared" si="114"/>
        <v>9.4627421341925907E-2</v>
      </c>
      <c r="OL32" s="218" t="str">
        <f t="shared" si="115"/>
        <v/>
      </c>
      <c r="OM32" s="218" t="str">
        <f t="shared" si="116"/>
        <v/>
      </c>
      <c r="ON32" s="217">
        <f t="shared" si="36"/>
        <v>0.33583832071205227</v>
      </c>
      <c r="OO32" s="210"/>
      <c r="OP32" s="210"/>
      <c r="OQ32" s="218" t="str">
        <f t="shared" si="117"/>
        <v/>
      </c>
      <c r="OR32" s="218" t="str">
        <f t="shared" si="118"/>
        <v/>
      </c>
      <c r="OS32" s="218">
        <f t="shared" si="37"/>
        <v>0.86729594495072637</v>
      </c>
      <c r="OT32" s="218">
        <f t="shared" si="38"/>
        <v>0.98164937450186096</v>
      </c>
      <c r="OU32" s="209" t="str">
        <f t="shared" si="39"/>
        <v/>
      </c>
      <c r="OV32" s="209" t="str">
        <f t="shared" si="40"/>
        <v/>
      </c>
      <c r="OW32" s="209">
        <f t="shared" si="119"/>
        <v>5.7055087040682245E-3</v>
      </c>
      <c r="OX32" s="219" t="str">
        <f t="shared" si="41"/>
        <v/>
      </c>
      <c r="OY32" s="208">
        <f t="shared" si="120"/>
        <v>14785957</v>
      </c>
      <c r="OZ32" s="208">
        <f t="shared" si="42"/>
        <v>2202642</v>
      </c>
      <c r="PA32" s="209">
        <f t="shared" si="121"/>
        <v>0.14896851113526166</v>
      </c>
      <c r="PB32" s="209">
        <f>IF(OR($CQ32="",$OZ32=""),"",IF($OZ32=0,0,
GuardLimitUpper(
  ($OZ32-$CQ32)/$OZ32,
  data_GuardLimitFlag,
  1)
))</f>
        <v>0.30499509225738908</v>
      </c>
      <c r="PC32" s="209" t="str">
        <f t="shared" si="43"/>
        <v/>
      </c>
      <c r="PD32" s="209" t="str">
        <f t="shared" si="44"/>
        <v/>
      </c>
      <c r="PE32" s="208">
        <f t="shared" si="122"/>
        <v>1539575</v>
      </c>
      <c r="PF32" s="209">
        <f t="shared" si="123"/>
        <v>0.10412413616514643</v>
      </c>
      <c r="PG32" s="209">
        <f t="shared" si="45"/>
        <v>7.6349641946641122E-2</v>
      </c>
      <c r="PH32" s="209" t="str">
        <f t="shared" si="46"/>
        <v/>
      </c>
      <c r="PI32" s="209" t="str">
        <f t="shared" si="47"/>
        <v/>
      </c>
      <c r="PJ32" s="220" t="str">
        <f t="shared" si="48"/>
        <v/>
      </c>
      <c r="PK32" s="220" t="str">
        <f t="shared" si="49"/>
        <v/>
      </c>
      <c r="PL32" s="221">
        <f t="shared" si="124"/>
        <v>6689159</v>
      </c>
      <c r="PM32" s="221" t="str">
        <f t="shared" si="50"/>
        <v/>
      </c>
      <c r="PN32" s="221">
        <f t="shared" si="125"/>
        <v>0</v>
      </c>
      <c r="PO32" s="221" t="str">
        <f t="shared" si="51"/>
        <v/>
      </c>
      <c r="PP32" s="221" t="str">
        <f t="shared" si="52"/>
        <v/>
      </c>
      <c r="PQ32" s="529" t="str">
        <f t="shared" si="126"/>
        <v/>
      </c>
      <c r="PR32" s="221" t="str">
        <f t="shared" si="53"/>
        <v/>
      </c>
      <c r="PS32" s="221">
        <f t="shared" si="54"/>
        <v>5674150</v>
      </c>
      <c r="PT32" s="221">
        <f t="shared" si="127"/>
        <v>1886489</v>
      </c>
      <c r="PU32" s="221" t="str">
        <f t="shared" si="55"/>
        <v/>
      </c>
      <c r="PV32" s="221">
        <f t="shared" si="128"/>
        <v>0</v>
      </c>
      <c r="PW32" s="221" t="str">
        <f t="shared" si="56"/>
        <v/>
      </c>
      <c r="PX32" s="221" t="str">
        <f t="shared" ref="PX32:PX41" si="162">IF($O$8="Lv2","",IF($IV32="","",$IV32))</f>
        <v/>
      </c>
      <c r="PY32" s="221">
        <f t="shared" si="57"/>
        <v>536159</v>
      </c>
      <c r="PZ32" s="221" t="str">
        <f t="shared" si="58"/>
        <v/>
      </c>
      <c r="QA32" s="221" t="str">
        <f t="shared" si="59"/>
        <v/>
      </c>
      <c r="QB32" s="221" t="str">
        <f t="shared" si="60"/>
        <v/>
      </c>
      <c r="QC32" s="221" t="str">
        <f t="shared" si="61"/>
        <v/>
      </c>
      <c r="QD32" s="221">
        <f t="shared" si="129"/>
        <v>14530691</v>
      </c>
      <c r="QE32" s="221">
        <f t="shared" si="130"/>
        <v>9704856</v>
      </c>
      <c r="QF32" s="221">
        <f t="shared" si="131"/>
        <v>771402</v>
      </c>
      <c r="QG32" s="222" t="str">
        <f t="shared" si="62"/>
        <v/>
      </c>
      <c r="QH32" s="222" t="str">
        <f t="shared" si="63"/>
        <v/>
      </c>
      <c r="QI32" s="222" t="str">
        <f t="shared" si="64"/>
        <v/>
      </c>
      <c r="QJ32" s="222" t="str">
        <f t="shared" si="65"/>
        <v/>
      </c>
      <c r="QK32" s="222" t="str">
        <f t="shared" si="66"/>
        <v/>
      </c>
      <c r="QL32" s="222" t="str">
        <f t="shared" si="132"/>
        <v/>
      </c>
      <c r="QM32" s="222">
        <f>IF(OR($O$8="Lv2",$O$8="Lv3",$O$8="Lv4"),IF(OR($AS32="",COUNT($PL32:$QL32)=0),"",
GuardLimitLower(
  $AS32-SUM($PL32:$QL32),
  data_GuardLimitFlag,
  0)
),"")</f>
        <v>39871876</v>
      </c>
      <c r="QN32" s="222">
        <f t="shared" si="133"/>
        <v>79664782</v>
      </c>
      <c r="QO32" s="222" t="str">
        <f t="shared" si="134"/>
        <v/>
      </c>
      <c r="QP32" s="222" t="str">
        <f t="shared" si="135"/>
        <v/>
      </c>
      <c r="QQ32" s="222" t="str">
        <f t="shared" si="136"/>
        <v/>
      </c>
      <c r="QR32" s="222">
        <f t="shared" si="67"/>
        <v>3.292391738280954</v>
      </c>
      <c r="QS32" s="209" t="str">
        <f t="shared" si="68"/>
        <v/>
      </c>
      <c r="QT32" s="209" t="str">
        <f t="shared" si="69"/>
        <v/>
      </c>
      <c r="QU32" s="209" t="str">
        <f t="shared" si="70"/>
        <v/>
      </c>
      <c r="QV32" s="208" t="str">
        <f t="shared" si="71"/>
        <v/>
      </c>
      <c r="QW32" s="208" t="str">
        <f t="shared" si="72"/>
        <v/>
      </c>
      <c r="QX32" s="208" t="str">
        <f t="shared" si="73"/>
        <v/>
      </c>
      <c r="QY32" s="208" t="str">
        <f t="shared" si="74"/>
        <v/>
      </c>
      <c r="QZ32" s="208" t="str">
        <f t="shared" si="75"/>
        <v/>
      </c>
      <c r="RA32" s="209" t="str">
        <f t="shared" si="137"/>
        <v/>
      </c>
      <c r="RB32" s="209" t="str">
        <f t="shared" si="76"/>
        <v/>
      </c>
      <c r="RC32" s="209" t="str">
        <f t="shared" si="77"/>
        <v/>
      </c>
      <c r="RD32" s="209" t="str">
        <f t="shared" si="78"/>
        <v/>
      </c>
      <c r="RE32" s="209" t="str">
        <f t="shared" si="79"/>
        <v/>
      </c>
      <c r="RF32" s="209" t="str">
        <f t="shared" si="80"/>
        <v/>
      </c>
      <c r="RG32" s="209" t="str">
        <f t="shared" si="81"/>
        <v/>
      </c>
      <c r="RH32" s="209" t="str">
        <f t="shared" si="82"/>
        <v/>
      </c>
      <c r="RI32" s="209" t="str">
        <f t="shared" si="83"/>
        <v/>
      </c>
      <c r="RJ32" s="134"/>
      <c r="RK32" s="134"/>
      <c r="RL32" s="134"/>
      <c r="RM32" s="134"/>
      <c r="RN32" s="134"/>
      <c r="RO32" s="134"/>
      <c r="RP32" s="134"/>
      <c r="RQ32" s="134"/>
      <c r="RR32" s="222" t="str">
        <f t="shared" si="84"/>
        <v/>
      </c>
      <c r="RS32" s="224"/>
      <c r="RT32" s="224"/>
      <c r="RU32" s="208">
        <f t="shared" si="138"/>
        <v>7.3222400000000007E-2</v>
      </c>
      <c r="RV32" s="208">
        <f t="shared" si="139"/>
        <v>1</v>
      </c>
      <c r="RW32" s="208">
        <f t="shared" si="140"/>
        <v>0.99693044811170672</v>
      </c>
      <c r="RX32" s="208">
        <f t="shared" si="141"/>
        <v>0.9944105245879804</v>
      </c>
      <c r="RY32" s="208">
        <f t="shared" si="142"/>
        <v>0.99218888030017061</v>
      </c>
      <c r="RZ32" s="208">
        <f t="shared" si="85"/>
        <v>0.99009603210357344</v>
      </c>
      <c r="SA32" s="208" t="str">
        <f t="shared" si="86"/>
        <v/>
      </c>
      <c r="SB32" s="208" t="str">
        <f t="shared" si="87"/>
        <v/>
      </c>
      <c r="SC32" s="208" t="str">
        <f t="shared" si="88"/>
        <v/>
      </c>
      <c r="SD32" s="208" t="str">
        <f t="shared" si="89"/>
        <v/>
      </c>
      <c r="SE32" s="208" t="str">
        <f t="shared" si="90"/>
        <v/>
      </c>
      <c r="SF32" s="208" t="str">
        <f t="shared" si="91"/>
        <v/>
      </c>
      <c r="SG32" s="208" t="str">
        <f t="shared" si="92"/>
        <v/>
      </c>
      <c r="SH32" s="208" t="str">
        <f t="shared" si="93"/>
        <v/>
      </c>
      <c r="SI32" s="208" t="str">
        <f t="shared" si="94"/>
        <v/>
      </c>
      <c r="SJ32" s="208" t="str">
        <f t="shared" si="95"/>
        <v/>
      </c>
      <c r="SK32" s="208" t="str">
        <f t="shared" si="96"/>
        <v/>
      </c>
      <c r="SL32" s="208" t="str">
        <f t="shared" si="97"/>
        <v/>
      </c>
      <c r="SM32" s="222">
        <f t="shared" si="143"/>
        <v>3</v>
      </c>
      <c r="SN32" s="225">
        <f t="shared" si="98"/>
        <v>2.4407466666666669E-2</v>
      </c>
      <c r="SO32" s="209">
        <f t="shared" si="144"/>
        <v>0.97704010742772129</v>
      </c>
      <c r="SP32" s="209">
        <f t="shared" si="145"/>
        <v>0.99261516716138698</v>
      </c>
      <c r="SQ32" s="222">
        <f t="shared" si="146"/>
        <v>158576241</v>
      </c>
      <c r="SR32" s="222">
        <f t="shared" si="147"/>
        <v>158089483</v>
      </c>
      <c r="SS32" s="222">
        <f t="shared" si="148"/>
        <v>157689883</v>
      </c>
      <c r="ST32" s="222">
        <f t="shared" si="149"/>
        <v>157337583</v>
      </c>
      <c r="SU32" s="222">
        <f t="shared" si="150"/>
        <v>157005707</v>
      </c>
      <c r="SV32" s="222" t="str">
        <f t="shared" si="151"/>
        <v/>
      </c>
      <c r="SW32" s="222" t="str">
        <f t="shared" si="152"/>
        <v/>
      </c>
      <c r="SX32" s="222" t="str">
        <f t="shared" si="153"/>
        <v/>
      </c>
      <c r="SY32" s="222" t="str">
        <f t="shared" si="154"/>
        <v/>
      </c>
      <c r="SZ32" s="222" t="str">
        <f t="shared" si="155"/>
        <v/>
      </c>
      <c r="TA32" s="222" t="str">
        <f t="shared" si="156"/>
        <v/>
      </c>
      <c r="TB32" s="222" t="str">
        <f t="shared" si="157"/>
        <v/>
      </c>
      <c r="TC32" s="222" t="str">
        <f t="shared" si="99"/>
        <v/>
      </c>
      <c r="TD32" s="222" t="str">
        <f t="shared" si="158"/>
        <v/>
      </c>
      <c r="TE32" s="222" t="str">
        <f t="shared" si="159"/>
        <v/>
      </c>
      <c r="TF32" s="222" t="str">
        <f t="shared" si="160"/>
        <v/>
      </c>
      <c r="TG32" s="222" t="str">
        <f t="shared" si="161"/>
        <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7.778186561622596E-3</v>
      </c>
      <c r="VO32" s="370">
        <f>IF(OR(PG42="",VK31=""),0,(1-PG42)*VK31)</f>
        <v>9.8868093162939347E-2</v>
      </c>
      <c r="VQ32" s="369" t="s">
        <v>1419</v>
      </c>
      <c r="VR32" s="370">
        <f>IF(OR(PG42="",VK31=""),0,PG42*VK31)</f>
        <v>7.778186561622596E-3</v>
      </c>
      <c r="VS32" s="370">
        <f>IF(OR(PH42="",VK31=""),0,PH42*VK31)</f>
        <v>0</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9</v>
      </c>
      <c r="AG33" s="430">
        <v>0</v>
      </c>
      <c r="AH33" s="430" t="s">
        <v>1975</v>
      </c>
      <c r="AI33" s="430">
        <v>1</v>
      </c>
      <c r="AJ33" s="430">
        <v>3</v>
      </c>
      <c r="AK33" s="594">
        <v>7306976</v>
      </c>
      <c r="AL33" s="594">
        <v>158904328</v>
      </c>
      <c r="AM33" s="430">
        <v>67416008</v>
      </c>
      <c r="AN33" s="430">
        <v>37183</v>
      </c>
      <c r="AO33" s="430">
        <v>1613063</v>
      </c>
      <c r="AP33" s="430">
        <v>606052</v>
      </c>
      <c r="AQ33" s="595">
        <v>14197</v>
      </c>
      <c r="AR33" s="595">
        <v>17589</v>
      </c>
      <c r="AS33" s="594">
        <v>78949288</v>
      </c>
      <c r="AT33" s="594">
        <v>38696996</v>
      </c>
      <c r="AU33" s="430" t="s">
        <v>1974</v>
      </c>
      <c r="AV33" s="430" t="s">
        <v>1964</v>
      </c>
      <c r="AW33" s="430">
        <v>0</v>
      </c>
      <c r="AX33" s="430">
        <v>5</v>
      </c>
      <c r="AY33" s="430">
        <v>0</v>
      </c>
      <c r="AZ33" s="430" t="s">
        <v>1975</v>
      </c>
      <c r="BA33" s="430">
        <v>1</v>
      </c>
      <c r="BB33" s="430">
        <v>3</v>
      </c>
      <c r="BC33" s="430">
        <v>7279936</v>
      </c>
      <c r="BD33" s="430">
        <v>157910117</v>
      </c>
      <c r="BE33" s="430">
        <v>130127966</v>
      </c>
      <c r="BF33" s="595">
        <v>7460089</v>
      </c>
      <c r="BG33" s="430">
        <v>63729223</v>
      </c>
      <c r="BH33" s="595">
        <v>1687363</v>
      </c>
      <c r="BI33" s="430">
        <v>37945157</v>
      </c>
      <c r="BJ33" s="430">
        <v>25167796</v>
      </c>
      <c r="BK33" s="430">
        <v>0</v>
      </c>
      <c r="BL33" s="430">
        <v>1737077</v>
      </c>
      <c r="BM33" s="430" t="s">
        <v>1974</v>
      </c>
      <c r="BN33" s="430" t="s">
        <v>1964</v>
      </c>
      <c r="BO33" s="430">
        <v>0</v>
      </c>
      <c r="BP33" s="430">
        <v>5</v>
      </c>
      <c r="BQ33" s="430">
        <v>0</v>
      </c>
      <c r="BR33" s="430" t="s">
        <v>1975</v>
      </c>
      <c r="BS33" s="430">
        <v>1</v>
      </c>
      <c r="BT33" s="430">
        <v>3</v>
      </c>
      <c r="BU33" s="430">
        <v>7307904</v>
      </c>
      <c r="BV33" s="430">
        <v>158758406</v>
      </c>
      <c r="BW33" s="594">
        <v>55490045</v>
      </c>
      <c r="BX33" s="594">
        <v>51473160</v>
      </c>
      <c r="BY33" s="430">
        <v>116264402</v>
      </c>
      <c r="BZ33" s="430">
        <v>896136</v>
      </c>
      <c r="CA33" s="430">
        <v>16528200</v>
      </c>
      <c r="CB33" s="430">
        <v>229335112</v>
      </c>
      <c r="CC33" s="430">
        <v>15409563</v>
      </c>
      <c r="CD33" s="430">
        <v>242011460</v>
      </c>
      <c r="CE33" s="430" t="s">
        <v>1974</v>
      </c>
      <c r="CF33" s="430" t="s">
        <v>1964</v>
      </c>
      <c r="CG33" s="430">
        <v>0</v>
      </c>
      <c r="CH33" s="430">
        <v>5</v>
      </c>
      <c r="CI33" s="430">
        <v>0</v>
      </c>
      <c r="CJ33" s="430" t="s">
        <v>1975</v>
      </c>
      <c r="CK33" s="430">
        <v>1</v>
      </c>
      <c r="CL33" s="430">
        <v>3</v>
      </c>
      <c r="CM33" s="430">
        <v>7258240</v>
      </c>
      <c r="CN33" s="430">
        <v>157546606</v>
      </c>
      <c r="CO33" s="430">
        <v>13926</v>
      </c>
      <c r="CP33" s="430">
        <v>2324494</v>
      </c>
      <c r="CQ33" s="430">
        <v>1582694</v>
      </c>
      <c r="CR33" s="430">
        <v>1601558</v>
      </c>
      <c r="CS33" s="430">
        <v>121592</v>
      </c>
      <c r="CT33" s="430">
        <v>0</v>
      </c>
      <c r="CU33" s="430">
        <v>0</v>
      </c>
      <c r="CV33" s="430">
        <v>17959</v>
      </c>
      <c r="CW33" s="430" t="s">
        <v>1974</v>
      </c>
      <c r="CX33" s="430" t="s">
        <v>1964</v>
      </c>
      <c r="CY33" s="430">
        <v>0</v>
      </c>
      <c r="CZ33" s="430">
        <v>5</v>
      </c>
      <c r="DA33" s="430">
        <v>0</v>
      </c>
      <c r="DB33" s="430" t="s">
        <v>1975</v>
      </c>
      <c r="DC33" s="430">
        <v>1</v>
      </c>
      <c r="DD33" s="430">
        <v>3</v>
      </c>
      <c r="DE33" s="430">
        <v>7242496</v>
      </c>
      <c r="DF33" s="430">
        <v>156703749</v>
      </c>
      <c r="DG33" s="430">
        <v>25806399</v>
      </c>
      <c r="DH33" s="430">
        <v>10014928</v>
      </c>
      <c r="DI33" s="430">
        <v>796268</v>
      </c>
      <c r="DJ33" s="430">
        <v>11930390</v>
      </c>
      <c r="DK33" s="430">
        <v>2352222</v>
      </c>
      <c r="DL33" s="430">
        <v>6900657</v>
      </c>
      <c r="DM33" s="430">
        <v>1946165</v>
      </c>
      <c r="DN33" s="430">
        <v>10014473</v>
      </c>
      <c r="DO33" s="595"/>
      <c r="DP33" s="595"/>
      <c r="DQ33" s="595"/>
      <c r="DR33" s="595"/>
      <c r="DS33" s="595"/>
      <c r="DT33" s="595"/>
      <c r="DU33" s="595"/>
      <c r="DV33" s="595"/>
      <c r="DW33" s="595"/>
      <c r="DX33" s="595"/>
      <c r="DY33" s="595"/>
      <c r="DZ33" s="595"/>
      <c r="EA33" s="595"/>
      <c r="EB33" s="430"/>
      <c r="EC33" s="595"/>
      <c r="ED33" s="595"/>
      <c r="EE33" s="595"/>
      <c r="EF33" s="595"/>
      <c r="EG33" s="595"/>
      <c r="EH33" s="595"/>
      <c r="EI33" s="595"/>
      <c r="EJ33" s="595"/>
      <c r="EK33" s="595"/>
      <c r="EL33" s="595"/>
      <c r="EM33" s="595"/>
      <c r="EN33" s="595"/>
      <c r="EO33" s="595"/>
      <c r="EP33" s="595"/>
      <c r="EQ33" s="595"/>
      <c r="ER33" s="595"/>
      <c r="ES33" s="430"/>
      <c r="ET33" s="595"/>
      <c r="EU33" s="595"/>
      <c r="EV33" s="595"/>
      <c r="EW33" s="595"/>
      <c r="EX33" s="595"/>
      <c r="EY33" s="595"/>
      <c r="EZ33" s="595"/>
      <c r="FA33" s="595"/>
      <c r="FB33" s="595"/>
      <c r="FC33" s="595"/>
      <c r="FD33" s="595"/>
      <c r="FE33" s="595"/>
      <c r="FF33" s="595"/>
      <c r="FG33" s="595"/>
      <c r="FH33" s="595"/>
      <c r="FI33" s="595"/>
      <c r="FJ33" s="595"/>
      <c r="FK33" s="595"/>
      <c r="FL33" s="595"/>
      <c r="FM33" s="595"/>
      <c r="FN33" s="595"/>
      <c r="FO33" s="430"/>
      <c r="FP33" s="430"/>
      <c r="FQ33" s="595"/>
      <c r="FR33" s="595"/>
      <c r="FS33" s="595"/>
      <c r="FT33" s="595"/>
      <c r="FU33" s="595"/>
      <c r="FV33" s="595"/>
      <c r="FW33" s="595"/>
      <c r="FX33" s="595"/>
      <c r="FY33" s="595"/>
      <c r="FZ33" s="595"/>
      <c r="GA33" s="595"/>
      <c r="GB33" s="595"/>
      <c r="GC33" s="595"/>
      <c r="GD33" s="595"/>
      <c r="GE33" s="595"/>
      <c r="GF33" s="595"/>
      <c r="GG33" s="595"/>
      <c r="GH33" s="595"/>
      <c r="GI33" s="595"/>
      <c r="GJ33" s="595"/>
      <c r="GK33" s="595"/>
      <c r="GL33" s="595"/>
      <c r="GM33" s="595"/>
      <c r="GN33" s="595"/>
      <c r="GO33" s="595"/>
      <c r="GP33" s="595"/>
      <c r="GQ33" s="595"/>
      <c r="GR33" s="595"/>
      <c r="GS33" s="595"/>
      <c r="GT33" s="595"/>
      <c r="GU33" s="595"/>
      <c r="GV33" s="595"/>
      <c r="GW33" s="595"/>
      <c r="GX33" s="595"/>
      <c r="GY33" s="595"/>
      <c r="GZ33" s="595"/>
      <c r="HA33" s="595"/>
      <c r="HB33" s="595"/>
      <c r="HC33" s="595"/>
      <c r="HD33" s="595"/>
      <c r="HE33" s="595"/>
      <c r="HF33" s="595"/>
      <c r="HG33" s="595"/>
      <c r="HH33" s="595"/>
      <c r="HI33" s="595"/>
      <c r="HJ33" s="595"/>
      <c r="HK33" s="595"/>
      <c r="HL33" s="595"/>
      <c r="HM33" s="595"/>
      <c r="HN33" s="595"/>
      <c r="HO33" s="595"/>
      <c r="HP33" s="595"/>
      <c r="HQ33" s="595"/>
      <c r="HR33" s="595"/>
      <c r="HS33" s="595"/>
      <c r="HT33" s="595"/>
      <c r="HU33" s="595"/>
      <c r="HV33" s="595"/>
      <c r="HW33" s="595"/>
      <c r="HX33" s="595"/>
      <c r="HY33" s="595"/>
      <c r="HZ33" s="595"/>
      <c r="IA33" s="595"/>
      <c r="IB33" s="595"/>
      <c r="IC33" s="595"/>
      <c r="ID33" s="595"/>
      <c r="IE33" s="595"/>
      <c r="IF33" s="595"/>
      <c r="IG33" s="595"/>
      <c r="IH33" s="595"/>
      <c r="II33" s="595"/>
      <c r="IJ33" s="595"/>
      <c r="IK33" s="595"/>
      <c r="IL33" s="595"/>
      <c r="IM33" s="595"/>
      <c r="IN33" s="595"/>
      <c r="IO33" s="595"/>
      <c r="IP33" s="595"/>
      <c r="IQ33" s="595"/>
      <c r="IR33" s="595"/>
      <c r="IS33" s="595"/>
      <c r="IT33" s="595"/>
      <c r="IU33" s="595"/>
      <c r="IV33" s="595"/>
      <c r="IW33" s="595"/>
      <c r="IX33" s="595"/>
      <c r="IY33" s="595"/>
      <c r="IZ33" s="595"/>
      <c r="JA33" s="595"/>
      <c r="JB33" s="595"/>
      <c r="JC33" s="595"/>
      <c r="JD33" s="595"/>
      <c r="JE33" s="595"/>
      <c r="JF33" s="595"/>
      <c r="JG33" s="595"/>
      <c r="JH33" s="595"/>
      <c r="JI33" s="595"/>
      <c r="JJ33" s="595"/>
      <c r="JK33" s="595"/>
      <c r="JL33" s="595"/>
      <c r="JM33" s="595"/>
      <c r="JN33" s="595"/>
      <c r="JO33" s="595"/>
      <c r="JP33" s="595"/>
      <c r="JQ33" s="595"/>
      <c r="JR33" s="595"/>
      <c r="JS33" s="595"/>
      <c r="JT33" s="595"/>
      <c r="JU33" s="595"/>
      <c r="JV33" s="595"/>
      <c r="JW33" s="595"/>
      <c r="JX33" s="595"/>
      <c r="JY33" s="595"/>
      <c r="JZ33" s="595"/>
      <c r="KA33" s="595"/>
      <c r="KB33" s="595"/>
      <c r="KC33" s="595"/>
      <c r="KD33" s="595"/>
      <c r="KE33" s="595"/>
      <c r="KF33" s="595"/>
      <c r="KG33" s="595"/>
      <c r="KH33" s="595"/>
      <c r="KI33" s="595"/>
      <c r="KJ33" s="595"/>
      <c r="KK33" s="595"/>
      <c r="KL33" s="595"/>
      <c r="KM33" s="595"/>
      <c r="KN33" s="595"/>
      <c r="KO33" s="595"/>
      <c r="KP33" s="595"/>
      <c r="KQ33" s="595"/>
      <c r="KR33" s="595"/>
      <c r="KS33" s="595"/>
      <c r="KT33" s="595"/>
      <c r="KU33" s="595"/>
      <c r="KV33" s="595"/>
      <c r="KW33" s="595"/>
      <c r="KX33" s="595"/>
      <c r="KY33" s="595"/>
      <c r="KZ33" s="595"/>
      <c r="LA33" s="595"/>
      <c r="LB33" s="595"/>
      <c r="LC33" s="595"/>
      <c r="LD33" s="595"/>
      <c r="LE33" s="595"/>
      <c r="LF33" s="595"/>
      <c r="LG33" s="595"/>
      <c r="LH33" s="595"/>
      <c r="LI33" s="595"/>
      <c r="LJ33" s="595"/>
      <c r="LK33" s="595"/>
      <c r="LL33" s="595"/>
      <c r="LM33" s="595"/>
      <c r="LN33" s="595"/>
      <c r="LO33" s="595"/>
      <c r="LP33" s="595"/>
      <c r="LQ33" s="595"/>
      <c r="LR33" s="595"/>
      <c r="LS33" s="595"/>
      <c r="LT33" s="595"/>
      <c r="LU33" s="595"/>
      <c r="LV33" s="595"/>
      <c r="MC33" s="252" t="s">
        <v>447</v>
      </c>
      <c r="MD33" s="371"/>
      <c r="ME33" s="372"/>
      <c r="MF33" s="372"/>
      <c r="MG33" s="372"/>
      <c r="MH33" s="372"/>
      <c r="MI33" s="372"/>
      <c r="MJ33" s="372"/>
      <c r="MK33" s="372"/>
      <c r="ML33" s="372"/>
      <c r="MM33" s="372"/>
      <c r="MN33" s="372"/>
      <c r="MO33" s="372"/>
      <c r="MP33" s="372"/>
      <c r="MQ33" s="372"/>
      <c r="MR33" s="372"/>
      <c r="MS33" s="372"/>
      <c r="MT33" s="373"/>
      <c r="NA33" s="424">
        <f t="shared" si="100"/>
        <v>9</v>
      </c>
      <c r="NB33" s="424">
        <f t="shared" si="101"/>
        <v>0</v>
      </c>
      <c r="NC33" s="207">
        <f t="shared" si="102"/>
        <v>7.3069759999999997E-2</v>
      </c>
      <c r="ND33" s="208">
        <f t="shared" si="103"/>
        <v>3.6910100019488228</v>
      </c>
      <c r="NE33" s="209">
        <f t="shared" si="15"/>
        <v>5.3089527999502631E-2</v>
      </c>
      <c r="NF33" s="208">
        <f t="shared" si="16"/>
        <v>7.6633100204516893</v>
      </c>
      <c r="NG33" s="210"/>
      <c r="NH33" s="211">
        <f t="shared" si="104"/>
        <v>78949288</v>
      </c>
      <c r="NI33" s="208">
        <f t="shared" si="17"/>
        <v>269701215</v>
      </c>
      <c r="NJ33" s="212">
        <f t="shared" si="105"/>
        <v>0.49015003149870079</v>
      </c>
      <c r="NK33" s="213">
        <f t="shared" si="106"/>
        <v>0.99986213261961021</v>
      </c>
      <c r="NL33" s="214">
        <f t="shared" si="18"/>
        <v>0.92239274084412237</v>
      </c>
      <c r="NM33" s="208">
        <f t="shared" si="107"/>
        <v>0.49683535366009668</v>
      </c>
      <c r="NN33" s="208">
        <f t="shared" si="19"/>
        <v>1.0804645861708047</v>
      </c>
      <c r="NO33" s="215">
        <f t="shared" si="20"/>
        <v>7.8079360452174191E-4</v>
      </c>
      <c r="NP33" s="216" t="str">
        <f t="shared" si="108"/>
        <v/>
      </c>
      <c r="NQ33" s="215" t="str">
        <f t="shared" si="109"/>
        <v/>
      </c>
      <c r="NR33" s="215" t="str">
        <f t="shared" si="110"/>
        <v/>
      </c>
      <c r="NS33" s="215" t="str">
        <f t="shared" si="21"/>
        <v/>
      </c>
      <c r="NT33" s="215" t="str">
        <f t="shared" si="22"/>
        <v/>
      </c>
      <c r="NU33" s="215">
        <f t="shared" si="23"/>
        <v>2.8708634419880773E-2</v>
      </c>
      <c r="NV33" s="215" t="str">
        <f t="shared" si="111"/>
        <v/>
      </c>
      <c r="NW33" s="215" t="str">
        <f t="shared" si="24"/>
        <v/>
      </c>
      <c r="NX33" s="215">
        <f t="shared" si="25"/>
        <v>1.7558365276572618E-2</v>
      </c>
      <c r="NY33" s="215" t="str">
        <f t="shared" si="26"/>
        <v/>
      </c>
      <c r="NZ33" s="215">
        <f t="shared" si="27"/>
        <v>1.5204338472524846E-3</v>
      </c>
      <c r="OA33" s="215">
        <f t="shared" si="28"/>
        <v>0</v>
      </c>
      <c r="OB33" s="215">
        <f t="shared" si="29"/>
        <v>1.0842098318231503E-2</v>
      </c>
      <c r="OC33" s="215">
        <f t="shared" si="30"/>
        <v>8.0379776738130084E-4</v>
      </c>
      <c r="OD33" s="215">
        <f t="shared" si="31"/>
        <v>3.4520075291226589E-3</v>
      </c>
      <c r="OE33" s="215" t="str">
        <f t="shared" si="32"/>
        <v/>
      </c>
      <c r="OF33" s="215" t="str">
        <f t="shared" si="33"/>
        <v/>
      </c>
      <c r="OG33" s="215" t="str">
        <f t="shared" si="34"/>
        <v/>
      </c>
      <c r="OH33" s="215">
        <f t="shared" si="35"/>
        <v>9.4036292370369146E-3</v>
      </c>
      <c r="OI33" s="215">
        <f t="shared" si="112"/>
        <v>7.3069759999999997E-2</v>
      </c>
      <c r="OJ33" s="218">
        <f t="shared" si="113"/>
        <v>0.10410913296773715</v>
      </c>
      <c r="OK33" s="218">
        <f t="shared" si="114"/>
        <v>9.7062973786723461E-2</v>
      </c>
      <c r="OL33" s="218" t="str">
        <f t="shared" si="115"/>
        <v/>
      </c>
      <c r="OM33" s="218" t="str">
        <f t="shared" si="116"/>
        <v/>
      </c>
      <c r="ON33" s="217">
        <f t="shared" si="36"/>
        <v>0.33687414636803548</v>
      </c>
      <c r="OO33" s="210"/>
      <c r="OP33" s="210"/>
      <c r="OQ33" s="218" t="str">
        <f t="shared" si="117"/>
        <v/>
      </c>
      <c r="OR33" s="218" t="str">
        <f t="shared" si="118"/>
        <v/>
      </c>
      <c r="OS33" s="218">
        <f t="shared" si="37"/>
        <v>0.86721146283321837</v>
      </c>
      <c r="OT33" s="218">
        <f t="shared" si="38"/>
        <v>0.9815798313034575</v>
      </c>
      <c r="OU33" s="209" t="str">
        <f t="shared" si="39"/>
        <v/>
      </c>
      <c r="OV33" s="209" t="str">
        <f t="shared" si="40"/>
        <v/>
      </c>
      <c r="OW33" s="209">
        <f t="shared" si="119"/>
        <v>5.6446522900966897E-3</v>
      </c>
      <c r="OX33" s="219" t="str">
        <f t="shared" si="41"/>
        <v/>
      </c>
      <c r="OY33" s="208">
        <f t="shared" si="120"/>
        <v>14282612</v>
      </c>
      <c r="OZ33" s="208">
        <f t="shared" si="42"/>
        <v>2324494</v>
      </c>
      <c r="PA33" s="209">
        <f t="shared" si="121"/>
        <v>0.16274992277322944</v>
      </c>
      <c r="PB33" s="209">
        <f>IF(OR($CQ33="",$OZ33=""),"",IF($OZ33=0,0,
GuardLimitUpper(
  ($OZ33-$CQ33)/$OZ33,
  data_GuardLimitFlag,
  1)
))</f>
        <v>0.31912321563316576</v>
      </c>
      <c r="PC33" s="209" t="str">
        <f t="shared" si="43"/>
        <v/>
      </c>
      <c r="PD33" s="209" t="str">
        <f t="shared" si="44"/>
        <v/>
      </c>
      <c r="PE33" s="208">
        <f t="shared" si="122"/>
        <v>1581277</v>
      </c>
      <c r="PF33" s="209">
        <f t="shared" si="123"/>
        <v>0.110713432529008</v>
      </c>
      <c r="PG33" s="209">
        <f t="shared" si="45"/>
        <v>6.8088007351020732E-2</v>
      </c>
      <c r="PH33" s="209" t="str">
        <f t="shared" si="46"/>
        <v/>
      </c>
      <c r="PI33" s="209" t="str">
        <f t="shared" si="47"/>
        <v/>
      </c>
      <c r="PJ33" s="220" t="str">
        <f t="shared" si="48"/>
        <v/>
      </c>
      <c r="PK33" s="220" t="str">
        <f t="shared" si="49"/>
        <v/>
      </c>
      <c r="PL33" s="221">
        <f t="shared" si="124"/>
        <v>6900657</v>
      </c>
      <c r="PM33" s="221" t="str">
        <f t="shared" si="50"/>
        <v/>
      </c>
      <c r="PN33" s="221">
        <f t="shared" si="125"/>
        <v>0</v>
      </c>
      <c r="PO33" s="221" t="str">
        <f t="shared" si="51"/>
        <v/>
      </c>
      <c r="PP33" s="221" t="str">
        <f t="shared" si="52"/>
        <v/>
      </c>
      <c r="PQ33" s="529" t="str">
        <f t="shared" si="126"/>
        <v/>
      </c>
      <c r="PR33" s="221" t="str">
        <f t="shared" si="53"/>
        <v/>
      </c>
      <c r="PS33" s="221">
        <f t="shared" si="54"/>
        <v>5029733</v>
      </c>
      <c r="PT33" s="221">
        <f t="shared" si="127"/>
        <v>1946165</v>
      </c>
      <c r="PU33" s="221" t="str">
        <f t="shared" si="55"/>
        <v/>
      </c>
      <c r="PV33" s="221">
        <f t="shared" si="128"/>
        <v>0</v>
      </c>
      <c r="PW33" s="221" t="str">
        <f t="shared" si="56"/>
        <v/>
      </c>
      <c r="PX33" s="221" t="str">
        <f t="shared" si="162"/>
        <v/>
      </c>
      <c r="PY33" s="221">
        <f t="shared" si="57"/>
        <v>406057</v>
      </c>
      <c r="PZ33" s="221" t="str">
        <f t="shared" si="58"/>
        <v/>
      </c>
      <c r="QA33" s="221" t="str">
        <f t="shared" si="59"/>
        <v/>
      </c>
      <c r="QB33" s="221" t="str">
        <f t="shared" si="60"/>
        <v/>
      </c>
      <c r="QC33" s="221" t="str">
        <f t="shared" si="61"/>
        <v/>
      </c>
      <c r="QD33" s="221">
        <f t="shared" si="129"/>
        <v>14995203</v>
      </c>
      <c r="QE33" s="221">
        <f t="shared" si="130"/>
        <v>10014928</v>
      </c>
      <c r="QF33" s="221">
        <f t="shared" si="131"/>
        <v>796268</v>
      </c>
      <c r="QG33" s="222" t="str">
        <f t="shared" si="62"/>
        <v/>
      </c>
      <c r="QH33" s="222" t="str">
        <f t="shared" si="63"/>
        <v/>
      </c>
      <c r="QI33" s="222" t="str">
        <f t="shared" si="64"/>
        <v/>
      </c>
      <c r="QJ33" s="222" t="str">
        <f t="shared" si="65"/>
        <v/>
      </c>
      <c r="QK33" s="222" t="str">
        <f t="shared" si="66"/>
        <v/>
      </c>
      <c r="QL33" s="222" t="str">
        <f t="shared" si="132"/>
        <v/>
      </c>
      <c r="QM33" s="222">
        <f>IF(OR($O$8="Lv2",$O$8="Lv3",$O$8="Lv4"),IF(OR($AS33="",COUNT($PL33:$QL33)=0),"",
GuardLimitLower(
  $AS33-SUM($PL33:$QL33),
  data_GuardLimitFlag,
  0)
),"")</f>
        <v>38860277</v>
      </c>
      <c r="QN33" s="222">
        <f t="shared" si="133"/>
        <v>78949288</v>
      </c>
      <c r="QO33" s="222" t="str">
        <f t="shared" si="134"/>
        <v/>
      </c>
      <c r="QP33" s="222" t="str">
        <f t="shared" si="135"/>
        <v/>
      </c>
      <c r="QQ33" s="222" t="str">
        <f t="shared" si="136"/>
        <v/>
      </c>
      <c r="QR33" s="222">
        <f t="shared" si="67"/>
        <v>3.404560832180644</v>
      </c>
      <c r="QS33" s="209" t="str">
        <f t="shared" si="68"/>
        <v/>
      </c>
      <c r="QT33" s="209" t="str">
        <f t="shared" si="69"/>
        <v/>
      </c>
      <c r="QU33" s="209" t="str">
        <f t="shared" si="70"/>
        <v/>
      </c>
      <c r="QV33" s="208" t="str">
        <f t="shared" si="71"/>
        <v/>
      </c>
      <c r="QW33" s="208" t="str">
        <f t="shared" si="72"/>
        <v/>
      </c>
      <c r="QX33" s="208" t="str">
        <f t="shared" si="73"/>
        <v/>
      </c>
      <c r="QY33" s="208" t="str">
        <f t="shared" si="74"/>
        <v/>
      </c>
      <c r="QZ33" s="208" t="str">
        <f t="shared" si="75"/>
        <v/>
      </c>
      <c r="RA33" s="209" t="str">
        <f t="shared" si="137"/>
        <v/>
      </c>
      <c r="RB33" s="209" t="str">
        <f t="shared" si="76"/>
        <v/>
      </c>
      <c r="RC33" s="209" t="str">
        <f t="shared" si="77"/>
        <v/>
      </c>
      <c r="RD33" s="209" t="str">
        <f t="shared" si="78"/>
        <v/>
      </c>
      <c r="RE33" s="209" t="str">
        <f t="shared" si="79"/>
        <v/>
      </c>
      <c r="RF33" s="209" t="str">
        <f t="shared" si="80"/>
        <v/>
      </c>
      <c r="RG33" s="209" t="str">
        <f t="shared" si="81"/>
        <v/>
      </c>
      <c r="RH33" s="209" t="str">
        <f t="shared" si="82"/>
        <v/>
      </c>
      <c r="RI33" s="209" t="str">
        <f t="shared" si="83"/>
        <v/>
      </c>
      <c r="RJ33" s="134"/>
      <c r="RK33" s="134"/>
      <c r="RL33" s="134"/>
      <c r="RM33" s="134"/>
      <c r="RN33" s="134"/>
      <c r="RO33" s="134"/>
      <c r="RP33" s="134"/>
      <c r="RQ33" s="134"/>
      <c r="RR33" s="222" t="str">
        <f t="shared" si="84"/>
        <v/>
      </c>
      <c r="RS33" s="224"/>
      <c r="RT33" s="224"/>
      <c r="RU33" s="208">
        <f t="shared" si="138"/>
        <v>7.3069759999999997E-2</v>
      </c>
      <c r="RV33" s="208">
        <f t="shared" si="139"/>
        <v>1</v>
      </c>
      <c r="RW33" s="208">
        <f t="shared" si="140"/>
        <v>0.99374333592726305</v>
      </c>
      <c r="RX33" s="208">
        <f t="shared" si="141"/>
        <v>0.99908169902080957</v>
      </c>
      <c r="RY33" s="208">
        <f t="shared" si="142"/>
        <v>0.99145572674395632</v>
      </c>
      <c r="RZ33" s="208">
        <f t="shared" si="85"/>
        <v>0.98615154774135538</v>
      </c>
      <c r="SA33" s="208" t="str">
        <f t="shared" si="86"/>
        <v/>
      </c>
      <c r="SB33" s="208" t="str">
        <f t="shared" si="87"/>
        <v/>
      </c>
      <c r="SC33" s="208" t="str">
        <f t="shared" si="88"/>
        <v/>
      </c>
      <c r="SD33" s="208" t="str">
        <f t="shared" si="89"/>
        <v/>
      </c>
      <c r="SE33" s="208" t="str">
        <f t="shared" si="90"/>
        <v/>
      </c>
      <c r="SF33" s="208" t="str">
        <f t="shared" si="91"/>
        <v/>
      </c>
      <c r="SG33" s="208" t="str">
        <f t="shared" si="92"/>
        <v/>
      </c>
      <c r="SH33" s="208" t="str">
        <f t="shared" si="93"/>
        <v/>
      </c>
      <c r="SI33" s="208" t="str">
        <f t="shared" si="94"/>
        <v/>
      </c>
      <c r="SJ33" s="208" t="str">
        <f t="shared" si="95"/>
        <v/>
      </c>
      <c r="SK33" s="208" t="str">
        <f t="shared" si="96"/>
        <v/>
      </c>
      <c r="SL33" s="208" t="str">
        <f t="shared" si="97"/>
        <v/>
      </c>
      <c r="SM33" s="222">
        <f t="shared" si="143"/>
        <v>3</v>
      </c>
      <c r="SN33" s="225">
        <f t="shared" si="98"/>
        <v>2.4356586666666666E-2</v>
      </c>
      <c r="SO33" s="209">
        <f t="shared" si="144"/>
        <v>0.9865369462500313</v>
      </c>
      <c r="SP33" s="209">
        <f t="shared" si="145"/>
        <v>0.98370018392057457</v>
      </c>
      <c r="SQ33" s="222">
        <f t="shared" si="146"/>
        <v>158904328</v>
      </c>
      <c r="SR33" s="222">
        <f t="shared" si="147"/>
        <v>157910117</v>
      </c>
      <c r="SS33" s="222">
        <f t="shared" si="148"/>
        <v>158758406</v>
      </c>
      <c r="ST33" s="222">
        <f t="shared" si="149"/>
        <v>157546606</v>
      </c>
      <c r="SU33" s="222">
        <f t="shared" si="150"/>
        <v>156703749</v>
      </c>
      <c r="SV33" s="222" t="str">
        <f t="shared" si="151"/>
        <v/>
      </c>
      <c r="SW33" s="222" t="str">
        <f t="shared" si="152"/>
        <v/>
      </c>
      <c r="SX33" s="222" t="str">
        <f t="shared" si="153"/>
        <v/>
      </c>
      <c r="SY33" s="222" t="str">
        <f t="shared" si="154"/>
        <v/>
      </c>
      <c r="SZ33" s="222" t="str">
        <f t="shared" si="155"/>
        <v/>
      </c>
      <c r="TA33" s="222" t="str">
        <f t="shared" si="156"/>
        <v/>
      </c>
      <c r="TB33" s="222" t="str">
        <f t="shared" si="157"/>
        <v/>
      </c>
      <c r="TC33" s="222" t="str">
        <f t="shared" si="99"/>
        <v/>
      </c>
      <c r="TD33" s="222" t="str">
        <f t="shared" si="158"/>
        <v/>
      </c>
      <c r="TE33" s="222" t="str">
        <f t="shared" si="159"/>
        <v/>
      </c>
      <c r="TF33" s="222" t="str">
        <f t="shared" si="160"/>
        <v/>
      </c>
      <c r="TG33" s="222" t="str">
        <f t="shared" si="161"/>
        <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9</v>
      </c>
      <c r="AG34" s="430">
        <v>1</v>
      </c>
      <c r="AH34" s="430" t="s">
        <v>1975</v>
      </c>
      <c r="AI34" s="430">
        <v>1</v>
      </c>
      <c r="AJ34" s="430">
        <v>3</v>
      </c>
      <c r="AK34" s="594">
        <v>7304608</v>
      </c>
      <c r="AL34" s="594">
        <v>158708869</v>
      </c>
      <c r="AM34" s="430">
        <v>65327900</v>
      </c>
      <c r="AN34" s="430">
        <v>36325</v>
      </c>
      <c r="AO34" s="430">
        <v>1571119</v>
      </c>
      <c r="AP34" s="430">
        <v>578429</v>
      </c>
      <c r="AQ34" s="595">
        <v>13658</v>
      </c>
      <c r="AR34" s="595">
        <v>16802</v>
      </c>
      <c r="AS34" s="594">
        <v>79991662</v>
      </c>
      <c r="AT34" s="594">
        <v>37500540</v>
      </c>
      <c r="AU34" s="430" t="s">
        <v>1974</v>
      </c>
      <c r="AV34" s="430" t="s">
        <v>1964</v>
      </c>
      <c r="AW34" s="430">
        <v>0</v>
      </c>
      <c r="AX34" s="430">
        <v>5</v>
      </c>
      <c r="AY34" s="430">
        <v>1</v>
      </c>
      <c r="AZ34" s="430" t="s">
        <v>1975</v>
      </c>
      <c r="BA34" s="430">
        <v>1</v>
      </c>
      <c r="BB34" s="430">
        <v>3</v>
      </c>
      <c r="BC34" s="430">
        <v>7278464</v>
      </c>
      <c r="BD34" s="430">
        <v>157920324</v>
      </c>
      <c r="BE34" s="430">
        <v>130080943</v>
      </c>
      <c r="BF34" s="595">
        <v>7511130</v>
      </c>
      <c r="BG34" s="430">
        <v>60612376</v>
      </c>
      <c r="BH34" s="595">
        <v>1652723</v>
      </c>
      <c r="BI34" s="430">
        <v>37050484</v>
      </c>
      <c r="BJ34" s="430">
        <v>29345481</v>
      </c>
      <c r="BK34" s="430">
        <v>0</v>
      </c>
      <c r="BL34" s="430">
        <v>2925276</v>
      </c>
      <c r="BM34" s="430" t="s">
        <v>1974</v>
      </c>
      <c r="BN34" s="430" t="s">
        <v>1964</v>
      </c>
      <c r="BO34" s="430">
        <v>0</v>
      </c>
      <c r="BP34" s="430">
        <v>5</v>
      </c>
      <c r="BQ34" s="430">
        <v>1</v>
      </c>
      <c r="BR34" s="430" t="s">
        <v>1975</v>
      </c>
      <c r="BS34" s="430">
        <v>1</v>
      </c>
      <c r="BT34" s="430">
        <v>3</v>
      </c>
      <c r="BU34" s="430">
        <v>7303776</v>
      </c>
      <c r="BV34" s="430">
        <v>158813753</v>
      </c>
      <c r="BW34" s="594">
        <v>53893863</v>
      </c>
      <c r="BX34" s="594">
        <v>51688639</v>
      </c>
      <c r="BY34" s="430">
        <v>116310870</v>
      </c>
      <c r="BZ34" s="430">
        <v>1034489</v>
      </c>
      <c r="CA34" s="430">
        <v>16008640</v>
      </c>
      <c r="CB34" s="430">
        <v>222118724</v>
      </c>
      <c r="CC34" s="430">
        <v>14922295</v>
      </c>
      <c r="CD34" s="430">
        <v>234379706</v>
      </c>
      <c r="CE34" s="430" t="s">
        <v>1974</v>
      </c>
      <c r="CF34" s="430" t="s">
        <v>1964</v>
      </c>
      <c r="CG34" s="430">
        <v>0</v>
      </c>
      <c r="CH34" s="430">
        <v>5</v>
      </c>
      <c r="CI34" s="430">
        <v>1</v>
      </c>
      <c r="CJ34" s="430" t="s">
        <v>1975</v>
      </c>
      <c r="CK34" s="430">
        <v>1</v>
      </c>
      <c r="CL34" s="430">
        <v>3</v>
      </c>
      <c r="CM34" s="430">
        <v>7254144</v>
      </c>
      <c r="CN34" s="430">
        <v>157547248</v>
      </c>
      <c r="CO34" s="430">
        <v>13306</v>
      </c>
      <c r="CP34" s="430">
        <v>2256749</v>
      </c>
      <c r="CQ34" s="430">
        <v>1540389</v>
      </c>
      <c r="CR34" s="430">
        <v>1565450</v>
      </c>
      <c r="CS34" s="430">
        <v>122762</v>
      </c>
      <c r="CT34" s="430">
        <v>0</v>
      </c>
      <c r="CU34" s="430">
        <v>0</v>
      </c>
      <c r="CV34" s="430">
        <v>16940</v>
      </c>
      <c r="CW34" s="430" t="s">
        <v>1974</v>
      </c>
      <c r="CX34" s="430" t="s">
        <v>1964</v>
      </c>
      <c r="CY34" s="430">
        <v>0</v>
      </c>
      <c r="CZ34" s="430">
        <v>5</v>
      </c>
      <c r="DA34" s="430">
        <v>1</v>
      </c>
      <c r="DB34" s="430" t="s">
        <v>1975</v>
      </c>
      <c r="DC34" s="430">
        <v>1</v>
      </c>
      <c r="DD34" s="430">
        <v>3</v>
      </c>
      <c r="DE34" s="430">
        <v>7238720</v>
      </c>
      <c r="DF34" s="430">
        <v>157416242</v>
      </c>
      <c r="DG34" s="430">
        <v>25006949</v>
      </c>
      <c r="DH34" s="430">
        <v>9704856</v>
      </c>
      <c r="DI34" s="430">
        <v>771402</v>
      </c>
      <c r="DJ34" s="430">
        <v>12323087</v>
      </c>
      <c r="DK34" s="430">
        <v>2391029</v>
      </c>
      <c r="DL34" s="430">
        <v>6689110</v>
      </c>
      <c r="DM34" s="430">
        <v>1886473</v>
      </c>
      <c r="DN34" s="430">
        <v>9740722</v>
      </c>
      <c r="DO34" s="595"/>
      <c r="DP34" s="595"/>
      <c r="DQ34" s="595"/>
      <c r="DR34" s="595"/>
      <c r="DS34" s="595"/>
      <c r="DT34" s="595"/>
      <c r="DU34" s="595"/>
      <c r="DV34" s="595"/>
      <c r="DW34" s="595"/>
      <c r="DX34" s="595"/>
      <c r="DY34" s="595"/>
      <c r="DZ34" s="595"/>
      <c r="EA34" s="595"/>
      <c r="EB34" s="430"/>
      <c r="EC34" s="595"/>
      <c r="ED34" s="595"/>
      <c r="EE34" s="595"/>
      <c r="EF34" s="595"/>
      <c r="EG34" s="595"/>
      <c r="EH34" s="595"/>
      <c r="EI34" s="595"/>
      <c r="EJ34" s="595"/>
      <c r="EK34" s="595"/>
      <c r="EL34" s="595"/>
      <c r="EM34" s="595"/>
      <c r="EN34" s="595"/>
      <c r="EO34" s="595"/>
      <c r="EP34" s="595"/>
      <c r="EQ34" s="595"/>
      <c r="ER34" s="595"/>
      <c r="ES34" s="430"/>
      <c r="ET34" s="595"/>
      <c r="EU34" s="595"/>
      <c r="EV34" s="595"/>
      <c r="EW34" s="595"/>
      <c r="EX34" s="595"/>
      <c r="EY34" s="595"/>
      <c r="EZ34" s="595"/>
      <c r="FA34" s="595"/>
      <c r="FB34" s="595"/>
      <c r="FC34" s="595"/>
      <c r="FD34" s="595"/>
      <c r="FE34" s="595"/>
      <c r="FF34" s="595"/>
      <c r="FG34" s="595"/>
      <c r="FH34" s="595"/>
      <c r="FI34" s="595"/>
      <c r="FJ34" s="595"/>
      <c r="FK34" s="595"/>
      <c r="FL34" s="595"/>
      <c r="FM34" s="595"/>
      <c r="FN34" s="595"/>
      <c r="FO34" s="430"/>
      <c r="FP34" s="430"/>
      <c r="FQ34" s="595"/>
      <c r="FR34" s="595"/>
      <c r="FS34" s="595"/>
      <c r="FT34" s="595"/>
      <c r="FU34" s="595"/>
      <c r="FV34" s="595"/>
      <c r="FW34" s="595"/>
      <c r="FX34" s="595"/>
      <c r="FY34" s="595"/>
      <c r="FZ34" s="595"/>
      <c r="GA34" s="595"/>
      <c r="GB34" s="595"/>
      <c r="GC34" s="595"/>
      <c r="GD34" s="595"/>
      <c r="GE34" s="595"/>
      <c r="GF34" s="595"/>
      <c r="GG34" s="595"/>
      <c r="GH34" s="595"/>
      <c r="GI34" s="595"/>
      <c r="GJ34" s="595"/>
      <c r="GK34" s="595"/>
      <c r="GL34" s="595"/>
      <c r="GM34" s="595"/>
      <c r="GN34" s="595"/>
      <c r="GO34" s="595"/>
      <c r="GP34" s="595"/>
      <c r="GQ34" s="595"/>
      <c r="GR34" s="595"/>
      <c r="GS34" s="595"/>
      <c r="GT34" s="595"/>
      <c r="GU34" s="595"/>
      <c r="GV34" s="595"/>
      <c r="GW34" s="595"/>
      <c r="GX34" s="595"/>
      <c r="GY34" s="595"/>
      <c r="GZ34" s="595"/>
      <c r="HA34" s="595"/>
      <c r="HB34" s="595"/>
      <c r="HC34" s="595"/>
      <c r="HD34" s="595"/>
      <c r="HE34" s="595"/>
      <c r="HF34" s="595"/>
      <c r="HG34" s="595"/>
      <c r="HH34" s="595"/>
      <c r="HI34" s="595"/>
      <c r="HJ34" s="595"/>
      <c r="HK34" s="595"/>
      <c r="HL34" s="595"/>
      <c r="HM34" s="595"/>
      <c r="HN34" s="595"/>
      <c r="HO34" s="595"/>
      <c r="HP34" s="595"/>
      <c r="HQ34" s="595"/>
      <c r="HR34" s="595"/>
      <c r="HS34" s="595"/>
      <c r="HT34" s="595"/>
      <c r="HU34" s="595"/>
      <c r="HV34" s="595"/>
      <c r="HW34" s="595"/>
      <c r="HX34" s="595"/>
      <c r="HY34" s="595"/>
      <c r="HZ34" s="595"/>
      <c r="IA34" s="595"/>
      <c r="IB34" s="595"/>
      <c r="IC34" s="595"/>
      <c r="ID34" s="595"/>
      <c r="IE34" s="595"/>
      <c r="IF34" s="595"/>
      <c r="IG34" s="595"/>
      <c r="IH34" s="595"/>
      <c r="II34" s="595"/>
      <c r="IJ34" s="595"/>
      <c r="IK34" s="595"/>
      <c r="IL34" s="595"/>
      <c r="IM34" s="595"/>
      <c r="IN34" s="595"/>
      <c r="IO34" s="595"/>
      <c r="IP34" s="595"/>
      <c r="IQ34" s="595"/>
      <c r="IR34" s="595"/>
      <c r="IS34" s="595"/>
      <c r="IT34" s="595"/>
      <c r="IU34" s="595"/>
      <c r="IV34" s="595"/>
      <c r="IW34" s="595"/>
      <c r="IX34" s="595"/>
      <c r="IY34" s="595"/>
      <c r="IZ34" s="595"/>
      <c r="JA34" s="595"/>
      <c r="JB34" s="595"/>
      <c r="JC34" s="595"/>
      <c r="JD34" s="595"/>
      <c r="JE34" s="595"/>
      <c r="JF34" s="595"/>
      <c r="JG34" s="595"/>
      <c r="JH34" s="595"/>
      <c r="JI34" s="595"/>
      <c r="JJ34" s="595"/>
      <c r="JK34" s="595"/>
      <c r="JL34" s="595"/>
      <c r="JM34" s="595"/>
      <c r="JN34" s="595"/>
      <c r="JO34" s="595"/>
      <c r="JP34" s="595"/>
      <c r="JQ34" s="595"/>
      <c r="JR34" s="595"/>
      <c r="JS34" s="595"/>
      <c r="JT34" s="595"/>
      <c r="JU34" s="595"/>
      <c r="JV34" s="595"/>
      <c r="JW34" s="595"/>
      <c r="JX34" s="595"/>
      <c r="JY34" s="595"/>
      <c r="JZ34" s="595"/>
      <c r="KA34" s="595"/>
      <c r="KB34" s="595"/>
      <c r="KC34" s="595"/>
      <c r="KD34" s="595"/>
      <c r="KE34" s="595"/>
      <c r="KF34" s="595"/>
      <c r="KG34" s="595"/>
      <c r="KH34" s="595"/>
      <c r="KI34" s="595"/>
      <c r="KJ34" s="595"/>
      <c r="KK34" s="595"/>
      <c r="KL34" s="595"/>
      <c r="KM34" s="595"/>
      <c r="KN34" s="595"/>
      <c r="KO34" s="595"/>
      <c r="KP34" s="595"/>
      <c r="KQ34" s="595"/>
      <c r="KR34" s="595"/>
      <c r="KS34" s="595"/>
      <c r="KT34" s="595"/>
      <c r="KU34" s="595"/>
      <c r="KV34" s="595"/>
      <c r="KW34" s="595"/>
      <c r="KX34" s="595"/>
      <c r="KY34" s="595"/>
      <c r="KZ34" s="595"/>
      <c r="LA34" s="595"/>
      <c r="LB34" s="595"/>
      <c r="LC34" s="595"/>
      <c r="LD34" s="595"/>
      <c r="LE34" s="595"/>
      <c r="LF34" s="595"/>
      <c r="LG34" s="595"/>
      <c r="LH34" s="595"/>
      <c r="LI34" s="595"/>
      <c r="LJ34" s="595"/>
      <c r="LK34" s="595"/>
      <c r="LL34" s="595"/>
      <c r="LM34" s="595"/>
      <c r="LN34" s="595"/>
      <c r="LO34" s="595"/>
      <c r="LP34" s="595"/>
      <c r="LQ34" s="595"/>
      <c r="LR34" s="595"/>
      <c r="LS34" s="595"/>
      <c r="LT34" s="595"/>
      <c r="LU34" s="595"/>
      <c r="LV34" s="595"/>
      <c r="MC34" s="252" t="s">
        <v>1774</v>
      </c>
      <c r="MD34" s="371"/>
      <c r="ME34" s="372"/>
      <c r="MF34" s="372"/>
      <c r="MG34" s="372"/>
      <c r="MH34" s="372"/>
      <c r="MI34" s="372"/>
      <c r="MJ34" s="372"/>
      <c r="MK34" s="372"/>
      <c r="ML34" s="372"/>
      <c r="MM34" s="372"/>
      <c r="MN34" s="372"/>
      <c r="MO34" s="372"/>
      <c r="MP34" s="372"/>
      <c r="MQ34" s="372"/>
      <c r="MR34" s="372"/>
      <c r="MS34" s="372"/>
      <c r="MT34" s="373"/>
      <c r="NA34" s="424">
        <f t="shared" si="100"/>
        <v>9</v>
      </c>
      <c r="NB34" s="424">
        <f t="shared" si="101"/>
        <v>1</v>
      </c>
      <c r="NC34" s="207">
        <f t="shared" si="102"/>
        <v>7.3046079999999999E-2</v>
      </c>
      <c r="ND34" s="208">
        <f t="shared" si="103"/>
        <v>3.5778501050295919</v>
      </c>
      <c r="NE34" s="209">
        <f t="shared" si="15"/>
        <v>5.1461896128350192E-2</v>
      </c>
      <c r="NF34" s="208">
        <f t="shared" si="16"/>
        <v>7.4266343655949774</v>
      </c>
      <c r="NG34" s="210"/>
      <c r="NH34" s="211">
        <f t="shared" si="104"/>
        <v>79991662</v>
      </c>
      <c r="NI34" s="208">
        <f t="shared" si="17"/>
        <v>261347925</v>
      </c>
      <c r="NJ34" s="212">
        <f t="shared" si="105"/>
        <v>0.46880561126483405</v>
      </c>
      <c r="NK34" s="213">
        <f t="shared" si="106"/>
        <v>0.99986100903613451</v>
      </c>
      <c r="NL34" s="214">
        <f t="shared" si="18"/>
        <v>0.92241478878669525</v>
      </c>
      <c r="NM34" s="208">
        <f t="shared" si="107"/>
        <v>0.50401507177270599</v>
      </c>
      <c r="NN34" s="208">
        <f t="shared" si="19"/>
        <v>1.0950849381650598</v>
      </c>
      <c r="NO34" s="215">
        <f t="shared" si="20"/>
        <v>7.6446738087898038E-4</v>
      </c>
      <c r="NP34" s="216" t="str">
        <f t="shared" si="108"/>
        <v/>
      </c>
      <c r="NQ34" s="215" t="str">
        <f t="shared" si="109"/>
        <v/>
      </c>
      <c r="NR34" s="215" t="str">
        <f t="shared" si="110"/>
        <v/>
      </c>
      <c r="NS34" s="215" t="str">
        <f t="shared" si="21"/>
        <v/>
      </c>
      <c r="NT34" s="215" t="str">
        <f t="shared" si="22"/>
        <v/>
      </c>
      <c r="NU34" s="215">
        <f t="shared" si="23"/>
        <v>2.727180023902585E-2</v>
      </c>
      <c r="NV34" s="215" t="str">
        <f t="shared" si="111"/>
        <v/>
      </c>
      <c r="NW34" s="215" t="str">
        <f t="shared" si="24"/>
        <v/>
      </c>
      <c r="NX34" s="215">
        <f t="shared" si="25"/>
        <v>1.7137709382503041E-2</v>
      </c>
      <c r="NY34" s="215" t="str">
        <f t="shared" si="26"/>
        <v/>
      </c>
      <c r="NZ34" s="215">
        <f t="shared" si="27"/>
        <v>1.4212327192297302E-3</v>
      </c>
      <c r="OA34" s="215">
        <f t="shared" si="28"/>
        <v>0</v>
      </c>
      <c r="OB34" s="215">
        <f t="shared" si="29"/>
        <v>1.2220671533363875E-2</v>
      </c>
      <c r="OC34" s="215">
        <f t="shared" si="30"/>
        <v>1.3530870460858476E-3</v>
      </c>
      <c r="OD34" s="215">
        <f t="shared" si="31"/>
        <v>3.4742748049985004E-3</v>
      </c>
      <c r="OE34" s="215" t="str">
        <f t="shared" si="32"/>
        <v/>
      </c>
      <c r="OF34" s="215" t="str">
        <f t="shared" si="33"/>
        <v/>
      </c>
      <c r="OG34" s="215" t="str">
        <f t="shared" si="34"/>
        <v/>
      </c>
      <c r="OH34" s="215">
        <f t="shared" si="35"/>
        <v>9.4028368939141731E-3</v>
      </c>
      <c r="OI34" s="215">
        <f t="shared" si="112"/>
        <v>7.3046079999999999E-2</v>
      </c>
      <c r="OJ34" s="218">
        <f t="shared" si="113"/>
        <v>0.10080134558623521</v>
      </c>
      <c r="OK34" s="218">
        <f t="shared" si="114"/>
        <v>9.3960974525927859E-2</v>
      </c>
      <c r="OL34" s="218" t="str">
        <f t="shared" si="115"/>
        <v/>
      </c>
      <c r="OM34" s="218" t="str">
        <f t="shared" si="116"/>
        <v/>
      </c>
      <c r="ON34" s="217">
        <f t="shared" si="36"/>
        <v>0.33240981969615691</v>
      </c>
      <c r="OO34" s="210"/>
      <c r="OP34" s="210"/>
      <c r="OQ34" s="218" t="str">
        <f t="shared" si="117"/>
        <v/>
      </c>
      <c r="OR34" s="218" t="str">
        <f t="shared" si="118"/>
        <v/>
      </c>
      <c r="OS34" s="218">
        <f t="shared" si="37"/>
        <v>0.86718298681212147</v>
      </c>
      <c r="OT34" s="218">
        <f t="shared" si="38"/>
        <v>0.98166747306630786</v>
      </c>
      <c r="OU34" s="209" t="str">
        <f t="shared" si="39"/>
        <v/>
      </c>
      <c r="OV34" s="209" t="str">
        <f t="shared" si="40"/>
        <v/>
      </c>
      <c r="OW34" s="209">
        <f t="shared" si="119"/>
        <v>6.513850220515852E-3</v>
      </c>
      <c r="OX34" s="219" t="str">
        <f t="shared" si="41"/>
        <v/>
      </c>
      <c r="OY34" s="208">
        <f t="shared" si="120"/>
        <v>14714116</v>
      </c>
      <c r="OZ34" s="208">
        <f t="shared" si="42"/>
        <v>2256749</v>
      </c>
      <c r="PA34" s="209">
        <f t="shared" si="121"/>
        <v>0.15337306026403488</v>
      </c>
      <c r="PB34" s="209">
        <f>IF(OR($CQ34="",$OZ34=""),"",IF($OZ34=0,0,
GuardLimitUpper(
  ($OZ34-$CQ34)/$OZ34,
  data_GuardLimitFlag,
  1)
))</f>
        <v>0.31743007308300569</v>
      </c>
      <c r="PC34" s="209" t="str">
        <f t="shared" si="43"/>
        <v/>
      </c>
      <c r="PD34" s="209" t="str">
        <f t="shared" si="44"/>
        <v/>
      </c>
      <c r="PE34" s="208">
        <f t="shared" si="122"/>
        <v>1540659</v>
      </c>
      <c r="PF34" s="209">
        <f t="shared" si="123"/>
        <v>0.10470618826166656</v>
      </c>
      <c r="PG34" s="209">
        <f t="shared" si="45"/>
        <v>7.1044922984255438E-2</v>
      </c>
      <c r="PH34" s="209" t="str">
        <f t="shared" si="46"/>
        <v/>
      </c>
      <c r="PI34" s="209" t="str">
        <f t="shared" si="47"/>
        <v/>
      </c>
      <c r="PJ34" s="220" t="str">
        <f t="shared" si="48"/>
        <v/>
      </c>
      <c r="PK34" s="220" t="str">
        <f t="shared" si="49"/>
        <v/>
      </c>
      <c r="PL34" s="221">
        <f t="shared" si="124"/>
        <v>6689110</v>
      </c>
      <c r="PM34" s="221" t="str">
        <f t="shared" si="50"/>
        <v/>
      </c>
      <c r="PN34" s="221">
        <f t="shared" si="125"/>
        <v>0</v>
      </c>
      <c r="PO34" s="221" t="str">
        <f t="shared" si="51"/>
        <v/>
      </c>
      <c r="PP34" s="221" t="str">
        <f t="shared" si="52"/>
        <v/>
      </c>
      <c r="PQ34" s="529" t="str">
        <f t="shared" si="126"/>
        <v/>
      </c>
      <c r="PR34" s="221" t="str">
        <f t="shared" si="53"/>
        <v/>
      </c>
      <c r="PS34" s="221">
        <f t="shared" si="54"/>
        <v>5633977</v>
      </c>
      <c r="PT34" s="221">
        <f t="shared" si="127"/>
        <v>1886473</v>
      </c>
      <c r="PU34" s="221" t="str">
        <f t="shared" si="55"/>
        <v/>
      </c>
      <c r="PV34" s="221">
        <f t="shared" si="128"/>
        <v>0</v>
      </c>
      <c r="PW34" s="221" t="str">
        <f t="shared" si="56"/>
        <v/>
      </c>
      <c r="PX34" s="221" t="str">
        <f t="shared" si="162"/>
        <v/>
      </c>
      <c r="PY34" s="221">
        <f t="shared" si="57"/>
        <v>504556</v>
      </c>
      <c r="PZ34" s="221" t="str">
        <f t="shared" si="58"/>
        <v/>
      </c>
      <c r="QA34" s="221" t="str">
        <f t="shared" si="59"/>
        <v/>
      </c>
      <c r="QB34" s="221" t="str">
        <f t="shared" si="60"/>
        <v/>
      </c>
      <c r="QC34" s="221" t="str">
        <f t="shared" si="61"/>
        <v/>
      </c>
      <c r="QD34" s="221">
        <f t="shared" si="129"/>
        <v>14530691</v>
      </c>
      <c r="QE34" s="221">
        <f t="shared" si="130"/>
        <v>9704856</v>
      </c>
      <c r="QF34" s="221">
        <f t="shared" si="131"/>
        <v>771402</v>
      </c>
      <c r="QG34" s="222" t="str">
        <f t="shared" si="62"/>
        <v/>
      </c>
      <c r="QH34" s="222" t="str">
        <f t="shared" si="63"/>
        <v/>
      </c>
      <c r="QI34" s="222" t="str">
        <f t="shared" si="64"/>
        <v/>
      </c>
      <c r="QJ34" s="222" t="str">
        <f t="shared" si="65"/>
        <v/>
      </c>
      <c r="QK34" s="222" t="str">
        <f t="shared" si="66"/>
        <v/>
      </c>
      <c r="QL34" s="222" t="str">
        <f t="shared" si="132"/>
        <v/>
      </c>
      <c r="QM34" s="222">
        <f>IF(OR($O$8="Lv2",$O$8="Lv3",$O$8="Lv4"),IF(OR($AS34="",COUNT($PL34:$QL34)=0),"",
GuardLimitLower(
  $AS34-SUM($PL34:$QL34),
  data_GuardLimitFlag,
  0)
),"")</f>
        <v>40270597</v>
      </c>
      <c r="QN34" s="222">
        <f t="shared" si="133"/>
        <v>79991662</v>
      </c>
      <c r="QO34" s="222" t="str">
        <f t="shared" si="134"/>
        <v/>
      </c>
      <c r="QP34" s="222" t="str">
        <f t="shared" si="135"/>
        <v/>
      </c>
      <c r="QQ34" s="222" t="str">
        <f t="shared" si="136"/>
        <v/>
      </c>
      <c r="QR34" s="222">
        <f t="shared" si="67"/>
        <v>3.3002618489413269</v>
      </c>
      <c r="QS34" s="209" t="str">
        <f t="shared" si="68"/>
        <v/>
      </c>
      <c r="QT34" s="209" t="str">
        <f t="shared" si="69"/>
        <v/>
      </c>
      <c r="QU34" s="209" t="str">
        <f t="shared" si="70"/>
        <v/>
      </c>
      <c r="QV34" s="208" t="str">
        <f t="shared" si="71"/>
        <v/>
      </c>
      <c r="QW34" s="208" t="str">
        <f t="shared" si="72"/>
        <v/>
      </c>
      <c r="QX34" s="208" t="str">
        <f t="shared" si="73"/>
        <v/>
      </c>
      <c r="QY34" s="208" t="str">
        <f t="shared" si="74"/>
        <v/>
      </c>
      <c r="QZ34" s="208" t="str">
        <f t="shared" si="75"/>
        <v/>
      </c>
      <c r="RA34" s="209" t="str">
        <f t="shared" si="137"/>
        <v/>
      </c>
      <c r="RB34" s="209" t="str">
        <f t="shared" si="76"/>
        <v/>
      </c>
      <c r="RC34" s="209" t="str">
        <f t="shared" si="77"/>
        <v/>
      </c>
      <c r="RD34" s="209" t="str">
        <f t="shared" si="78"/>
        <v/>
      </c>
      <c r="RE34" s="209" t="str">
        <f t="shared" si="79"/>
        <v/>
      </c>
      <c r="RF34" s="209" t="str">
        <f t="shared" si="80"/>
        <v/>
      </c>
      <c r="RG34" s="209" t="str">
        <f t="shared" si="81"/>
        <v/>
      </c>
      <c r="RH34" s="209" t="str">
        <f t="shared" si="82"/>
        <v/>
      </c>
      <c r="RI34" s="209" t="str">
        <f t="shared" si="83"/>
        <v/>
      </c>
      <c r="RJ34" s="134"/>
      <c r="RK34" s="134"/>
      <c r="RL34" s="134"/>
      <c r="RM34" s="134"/>
      <c r="RN34" s="134"/>
      <c r="RO34" s="134"/>
      <c r="RP34" s="134"/>
      <c r="RQ34" s="134"/>
      <c r="RR34" s="222" t="str">
        <f t="shared" si="84"/>
        <v/>
      </c>
      <c r="RS34" s="224"/>
      <c r="RT34" s="224"/>
      <c r="RU34" s="208">
        <f t="shared" si="138"/>
        <v>7.3046079999999999E-2</v>
      </c>
      <c r="RV34" s="208">
        <f t="shared" si="139"/>
        <v>1</v>
      </c>
      <c r="RW34" s="208">
        <f t="shared" si="140"/>
        <v>0.9950315000984602</v>
      </c>
      <c r="RX34" s="208">
        <f t="shared" si="141"/>
        <v>1.0006608578377558</v>
      </c>
      <c r="RY34" s="208">
        <f t="shared" si="142"/>
        <v>0.99268080601091047</v>
      </c>
      <c r="RZ34" s="208">
        <f t="shared" si="85"/>
        <v>0.99185535749738096</v>
      </c>
      <c r="SA34" s="208" t="str">
        <f t="shared" si="86"/>
        <v/>
      </c>
      <c r="SB34" s="208" t="str">
        <f t="shared" si="87"/>
        <v/>
      </c>
      <c r="SC34" s="208" t="str">
        <f t="shared" si="88"/>
        <v/>
      </c>
      <c r="SD34" s="208" t="str">
        <f t="shared" si="89"/>
        <v/>
      </c>
      <c r="SE34" s="208" t="str">
        <f t="shared" si="90"/>
        <v/>
      </c>
      <c r="SF34" s="208" t="str">
        <f t="shared" si="91"/>
        <v/>
      </c>
      <c r="SG34" s="208" t="str">
        <f t="shared" si="92"/>
        <v/>
      </c>
      <c r="SH34" s="208" t="str">
        <f t="shared" si="93"/>
        <v/>
      </c>
      <c r="SI34" s="208" t="str">
        <f t="shared" si="94"/>
        <v/>
      </c>
      <c r="SJ34" s="208" t="str">
        <f t="shared" si="95"/>
        <v/>
      </c>
      <c r="SK34" s="208" t="str">
        <f t="shared" si="96"/>
        <v/>
      </c>
      <c r="SL34" s="208" t="str">
        <f t="shared" si="97"/>
        <v/>
      </c>
      <c r="SM34" s="222">
        <f t="shared" si="143"/>
        <v>3</v>
      </c>
      <c r="SN34" s="225">
        <f t="shared" si="98"/>
        <v>2.4348693333333334E-2</v>
      </c>
      <c r="SO34" s="209">
        <f t="shared" si="144"/>
        <v>0.97871507070800579</v>
      </c>
      <c r="SP34" s="209">
        <f t="shared" si="145"/>
        <v>0.99668805906789737</v>
      </c>
      <c r="SQ34" s="222">
        <f t="shared" si="146"/>
        <v>158708869</v>
      </c>
      <c r="SR34" s="222">
        <f t="shared" si="147"/>
        <v>157920324</v>
      </c>
      <c r="SS34" s="222">
        <f t="shared" si="148"/>
        <v>158813753</v>
      </c>
      <c r="ST34" s="222">
        <f t="shared" si="149"/>
        <v>157547248</v>
      </c>
      <c r="SU34" s="222">
        <f t="shared" si="150"/>
        <v>157416242</v>
      </c>
      <c r="SV34" s="222" t="str">
        <f t="shared" si="151"/>
        <v/>
      </c>
      <c r="SW34" s="222" t="str">
        <f t="shared" si="152"/>
        <v/>
      </c>
      <c r="SX34" s="222" t="str">
        <f t="shared" si="153"/>
        <v/>
      </c>
      <c r="SY34" s="222" t="str">
        <f t="shared" si="154"/>
        <v/>
      </c>
      <c r="SZ34" s="222" t="str">
        <f t="shared" si="155"/>
        <v/>
      </c>
      <c r="TA34" s="222" t="str">
        <f t="shared" si="156"/>
        <v/>
      </c>
      <c r="TB34" s="222" t="str">
        <f t="shared" si="157"/>
        <v/>
      </c>
      <c r="TC34" s="222" t="str">
        <f t="shared" si="99"/>
        <v/>
      </c>
      <c r="TD34" s="222" t="str">
        <f t="shared" si="158"/>
        <v/>
      </c>
      <c r="TE34" s="222" t="str">
        <f t="shared" si="159"/>
        <v/>
      </c>
      <c r="TF34" s="222" t="str">
        <f t="shared" si="160"/>
        <v/>
      </c>
      <c r="TG34" s="222" t="str">
        <f t="shared" si="161"/>
        <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9</v>
      </c>
      <c r="AG35" s="430">
        <v>2</v>
      </c>
      <c r="AH35" s="430" t="s">
        <v>1975</v>
      </c>
      <c r="AI35" s="430">
        <v>1</v>
      </c>
      <c r="AJ35" s="430">
        <v>3</v>
      </c>
      <c r="AK35" s="594">
        <v>7303232</v>
      </c>
      <c r="AL35" s="594">
        <v>158669493</v>
      </c>
      <c r="AM35" s="430">
        <v>65327900</v>
      </c>
      <c r="AN35" s="430">
        <v>36325</v>
      </c>
      <c r="AO35" s="430">
        <v>1573953</v>
      </c>
      <c r="AP35" s="430">
        <v>585136</v>
      </c>
      <c r="AQ35" s="595">
        <v>14007</v>
      </c>
      <c r="AR35" s="595">
        <v>17127</v>
      </c>
      <c r="AS35" s="594">
        <v>79033831</v>
      </c>
      <c r="AT35" s="594">
        <v>37500540</v>
      </c>
      <c r="AU35" s="430" t="s">
        <v>1974</v>
      </c>
      <c r="AV35" s="430" t="s">
        <v>1964</v>
      </c>
      <c r="AW35" s="430">
        <v>0</v>
      </c>
      <c r="AX35" s="430">
        <v>5</v>
      </c>
      <c r="AY35" s="430">
        <v>2</v>
      </c>
      <c r="AZ35" s="430" t="s">
        <v>1975</v>
      </c>
      <c r="BA35" s="430">
        <v>1</v>
      </c>
      <c r="BB35" s="430">
        <v>3</v>
      </c>
      <c r="BC35" s="430">
        <v>7275840</v>
      </c>
      <c r="BD35" s="430">
        <v>157868887</v>
      </c>
      <c r="BE35" s="430">
        <v>130210553</v>
      </c>
      <c r="BF35" s="595">
        <v>7336826</v>
      </c>
      <c r="BG35" s="430">
        <v>59543656</v>
      </c>
      <c r="BH35" s="595">
        <v>1602193</v>
      </c>
      <c r="BI35" s="430">
        <v>36992927</v>
      </c>
      <c r="BJ35" s="430">
        <v>30870207</v>
      </c>
      <c r="BK35" s="430">
        <v>0</v>
      </c>
      <c r="BL35" s="430">
        <v>2714928</v>
      </c>
      <c r="BM35" s="430" t="s">
        <v>1974</v>
      </c>
      <c r="BN35" s="430" t="s">
        <v>1964</v>
      </c>
      <c r="BO35" s="430">
        <v>0</v>
      </c>
      <c r="BP35" s="430">
        <v>5</v>
      </c>
      <c r="BQ35" s="430">
        <v>2</v>
      </c>
      <c r="BR35" s="430" t="s">
        <v>1975</v>
      </c>
      <c r="BS35" s="430">
        <v>1</v>
      </c>
      <c r="BT35" s="430">
        <v>3</v>
      </c>
      <c r="BU35" s="430">
        <v>7305344</v>
      </c>
      <c r="BV35" s="430">
        <v>158866351</v>
      </c>
      <c r="BW35" s="594">
        <v>55280047</v>
      </c>
      <c r="BX35" s="594">
        <v>50814613</v>
      </c>
      <c r="BY35" s="430">
        <v>116310083</v>
      </c>
      <c r="BZ35" s="430">
        <v>927632</v>
      </c>
      <c r="CA35" s="430">
        <v>16000422</v>
      </c>
      <c r="CB35" s="430">
        <v>222003902</v>
      </c>
      <c r="CC35" s="430">
        <v>14915173</v>
      </c>
      <c r="CD35" s="430">
        <v>234261828</v>
      </c>
      <c r="CE35" s="430" t="s">
        <v>1974</v>
      </c>
      <c r="CF35" s="430" t="s">
        <v>1964</v>
      </c>
      <c r="CG35" s="430">
        <v>0</v>
      </c>
      <c r="CH35" s="430">
        <v>5</v>
      </c>
      <c r="CI35" s="430">
        <v>2</v>
      </c>
      <c r="CJ35" s="430" t="s">
        <v>1975</v>
      </c>
      <c r="CK35" s="430">
        <v>1</v>
      </c>
      <c r="CL35" s="430">
        <v>3</v>
      </c>
      <c r="CM35" s="430">
        <v>7255744</v>
      </c>
      <c r="CN35" s="430">
        <v>157579890</v>
      </c>
      <c r="CO35" s="430">
        <v>13670</v>
      </c>
      <c r="CP35" s="430">
        <v>2268279</v>
      </c>
      <c r="CQ35" s="430">
        <v>1540910</v>
      </c>
      <c r="CR35" s="430">
        <v>1570152</v>
      </c>
      <c r="CS35" s="430">
        <v>123505</v>
      </c>
      <c r="CT35" s="430">
        <v>0</v>
      </c>
      <c r="CU35" s="430">
        <v>0</v>
      </c>
      <c r="CV35" s="430">
        <v>17678</v>
      </c>
      <c r="CW35" s="430" t="s">
        <v>1974</v>
      </c>
      <c r="CX35" s="430" t="s">
        <v>1964</v>
      </c>
      <c r="CY35" s="430">
        <v>0</v>
      </c>
      <c r="CZ35" s="430">
        <v>5</v>
      </c>
      <c r="DA35" s="430">
        <v>2</v>
      </c>
      <c r="DB35" s="430" t="s">
        <v>1975</v>
      </c>
      <c r="DC35" s="430">
        <v>1</v>
      </c>
      <c r="DD35" s="430">
        <v>3</v>
      </c>
      <c r="DE35" s="430">
        <v>7240128</v>
      </c>
      <c r="DF35" s="430">
        <v>157454946</v>
      </c>
      <c r="DG35" s="430">
        <v>25006949</v>
      </c>
      <c r="DH35" s="430">
        <v>9704856</v>
      </c>
      <c r="DI35" s="430">
        <v>771402</v>
      </c>
      <c r="DJ35" s="430">
        <v>12283667</v>
      </c>
      <c r="DK35" s="430">
        <v>2413309</v>
      </c>
      <c r="DL35" s="430">
        <v>6689159</v>
      </c>
      <c r="DM35" s="430">
        <v>1886489</v>
      </c>
      <c r="DN35" s="430">
        <v>9740714</v>
      </c>
      <c r="DO35" s="595"/>
      <c r="DP35" s="595"/>
      <c r="DQ35" s="595"/>
      <c r="DR35" s="595"/>
      <c r="DS35" s="595"/>
      <c r="DT35" s="595"/>
      <c r="DU35" s="595"/>
      <c r="DV35" s="595"/>
      <c r="DW35" s="595"/>
      <c r="DX35" s="595"/>
      <c r="DY35" s="595"/>
      <c r="DZ35" s="595"/>
      <c r="EA35" s="595"/>
      <c r="EB35" s="430"/>
      <c r="EC35" s="595"/>
      <c r="ED35" s="595"/>
      <c r="EE35" s="595"/>
      <c r="EF35" s="595"/>
      <c r="EG35" s="595"/>
      <c r="EH35" s="595"/>
      <c r="EI35" s="595"/>
      <c r="EJ35" s="595"/>
      <c r="EK35" s="595"/>
      <c r="EL35" s="595"/>
      <c r="EM35" s="595"/>
      <c r="EN35" s="595"/>
      <c r="EO35" s="595"/>
      <c r="EP35" s="595"/>
      <c r="EQ35" s="595"/>
      <c r="ER35" s="595"/>
      <c r="ES35" s="430"/>
      <c r="ET35" s="595"/>
      <c r="EU35" s="595"/>
      <c r="EV35" s="595"/>
      <c r="EW35" s="595"/>
      <c r="EX35" s="595"/>
      <c r="EY35" s="595"/>
      <c r="EZ35" s="595"/>
      <c r="FA35" s="595"/>
      <c r="FB35" s="595"/>
      <c r="FC35" s="595"/>
      <c r="FD35" s="595"/>
      <c r="FE35" s="595"/>
      <c r="FF35" s="595"/>
      <c r="FG35" s="595"/>
      <c r="FH35" s="595"/>
      <c r="FI35" s="595"/>
      <c r="FJ35" s="595"/>
      <c r="FK35" s="595"/>
      <c r="FL35" s="595"/>
      <c r="FM35" s="595"/>
      <c r="FN35" s="595"/>
      <c r="FO35" s="430"/>
      <c r="FP35" s="430"/>
      <c r="FQ35" s="595"/>
      <c r="FR35" s="595"/>
      <c r="FS35" s="595"/>
      <c r="FT35" s="595"/>
      <c r="FU35" s="595"/>
      <c r="FV35" s="595"/>
      <c r="FW35" s="595"/>
      <c r="FX35" s="595"/>
      <c r="FY35" s="595"/>
      <c r="FZ35" s="595"/>
      <c r="GA35" s="595"/>
      <c r="GB35" s="595"/>
      <c r="GC35" s="595"/>
      <c r="GD35" s="595"/>
      <c r="GE35" s="595"/>
      <c r="GF35" s="595"/>
      <c r="GG35" s="595"/>
      <c r="GH35" s="595"/>
      <c r="GI35" s="595"/>
      <c r="GJ35" s="595"/>
      <c r="GK35" s="595"/>
      <c r="GL35" s="595"/>
      <c r="GM35" s="595"/>
      <c r="GN35" s="595"/>
      <c r="GO35" s="595"/>
      <c r="GP35" s="595"/>
      <c r="GQ35" s="595"/>
      <c r="GR35" s="595"/>
      <c r="GS35" s="595"/>
      <c r="GT35" s="595"/>
      <c r="GU35" s="595"/>
      <c r="GV35" s="595"/>
      <c r="GW35" s="595"/>
      <c r="GX35" s="595"/>
      <c r="GY35" s="595"/>
      <c r="GZ35" s="595"/>
      <c r="HA35" s="595"/>
      <c r="HB35" s="595"/>
      <c r="HC35" s="595"/>
      <c r="HD35" s="595"/>
      <c r="HE35" s="595"/>
      <c r="HF35" s="595"/>
      <c r="HG35" s="595"/>
      <c r="HH35" s="595"/>
      <c r="HI35" s="595"/>
      <c r="HJ35" s="595"/>
      <c r="HK35" s="595"/>
      <c r="HL35" s="595"/>
      <c r="HM35" s="595"/>
      <c r="HN35" s="595"/>
      <c r="HO35" s="595"/>
      <c r="HP35" s="595"/>
      <c r="HQ35" s="595"/>
      <c r="HR35" s="595"/>
      <c r="HS35" s="595"/>
      <c r="HT35" s="595"/>
      <c r="HU35" s="595"/>
      <c r="HV35" s="595"/>
      <c r="HW35" s="595"/>
      <c r="HX35" s="595"/>
      <c r="HY35" s="595"/>
      <c r="HZ35" s="595"/>
      <c r="IA35" s="595"/>
      <c r="IB35" s="595"/>
      <c r="IC35" s="595"/>
      <c r="ID35" s="595"/>
      <c r="IE35" s="595"/>
      <c r="IF35" s="595"/>
      <c r="IG35" s="595"/>
      <c r="IH35" s="595"/>
      <c r="II35" s="595"/>
      <c r="IJ35" s="595"/>
      <c r="IK35" s="595"/>
      <c r="IL35" s="595"/>
      <c r="IM35" s="595"/>
      <c r="IN35" s="595"/>
      <c r="IO35" s="595"/>
      <c r="IP35" s="595"/>
      <c r="IQ35" s="595"/>
      <c r="IR35" s="595"/>
      <c r="IS35" s="595"/>
      <c r="IT35" s="595"/>
      <c r="IU35" s="595"/>
      <c r="IV35" s="595"/>
      <c r="IW35" s="595"/>
      <c r="IX35" s="595"/>
      <c r="IY35" s="595"/>
      <c r="IZ35" s="595"/>
      <c r="JA35" s="595"/>
      <c r="JB35" s="595"/>
      <c r="JC35" s="595"/>
      <c r="JD35" s="595"/>
      <c r="JE35" s="595"/>
      <c r="JF35" s="595"/>
      <c r="JG35" s="595"/>
      <c r="JH35" s="595"/>
      <c r="JI35" s="595"/>
      <c r="JJ35" s="595"/>
      <c r="JK35" s="595"/>
      <c r="JL35" s="595"/>
      <c r="JM35" s="595"/>
      <c r="JN35" s="595"/>
      <c r="JO35" s="595"/>
      <c r="JP35" s="595"/>
      <c r="JQ35" s="595"/>
      <c r="JR35" s="595"/>
      <c r="JS35" s="595"/>
      <c r="JT35" s="595"/>
      <c r="JU35" s="595"/>
      <c r="JV35" s="595"/>
      <c r="JW35" s="595"/>
      <c r="JX35" s="595"/>
      <c r="JY35" s="595"/>
      <c r="JZ35" s="595"/>
      <c r="KA35" s="595"/>
      <c r="KB35" s="595"/>
      <c r="KC35" s="595"/>
      <c r="KD35" s="595"/>
      <c r="KE35" s="595"/>
      <c r="KF35" s="595"/>
      <c r="KG35" s="595"/>
      <c r="KH35" s="595"/>
      <c r="KI35" s="595"/>
      <c r="KJ35" s="595"/>
      <c r="KK35" s="595"/>
      <c r="KL35" s="595"/>
      <c r="KM35" s="595"/>
      <c r="KN35" s="595"/>
      <c r="KO35" s="595"/>
      <c r="KP35" s="595"/>
      <c r="KQ35" s="595"/>
      <c r="KR35" s="595"/>
      <c r="KS35" s="595"/>
      <c r="KT35" s="595"/>
      <c r="KU35" s="595"/>
      <c r="KV35" s="595"/>
      <c r="KW35" s="595"/>
      <c r="KX35" s="595"/>
      <c r="KY35" s="595"/>
      <c r="KZ35" s="595"/>
      <c r="LA35" s="595"/>
      <c r="LB35" s="595"/>
      <c r="LC35" s="595"/>
      <c r="LD35" s="595"/>
      <c r="LE35" s="595"/>
      <c r="LF35" s="595"/>
      <c r="LG35" s="595"/>
      <c r="LH35" s="595"/>
      <c r="LI35" s="595"/>
      <c r="LJ35" s="595"/>
      <c r="LK35" s="595"/>
      <c r="LL35" s="595"/>
      <c r="LM35" s="595"/>
      <c r="LN35" s="595"/>
      <c r="LO35" s="595"/>
      <c r="LP35" s="595"/>
      <c r="LQ35" s="595"/>
      <c r="LR35" s="595"/>
      <c r="LS35" s="595"/>
      <c r="LT35" s="595"/>
      <c r="LU35" s="595"/>
      <c r="LV35" s="595"/>
      <c r="MC35" s="252" t="s">
        <v>1775</v>
      </c>
      <c r="MD35" s="371"/>
      <c r="ME35" s="372"/>
      <c r="MF35" s="372"/>
      <c r="MG35" s="372"/>
      <c r="MH35" s="372"/>
      <c r="MI35" s="372"/>
      <c r="MJ35" s="372"/>
      <c r="MK35" s="372"/>
      <c r="ML35" s="372"/>
      <c r="MM35" s="372"/>
      <c r="MN35" s="372"/>
      <c r="MO35" s="372"/>
      <c r="MP35" s="372"/>
      <c r="MQ35" s="372"/>
      <c r="MR35" s="372"/>
      <c r="MS35" s="372"/>
      <c r="MT35" s="373"/>
      <c r="NA35" s="424">
        <f t="shared" si="100"/>
        <v>9</v>
      </c>
      <c r="NB35" s="424">
        <f t="shared" si="101"/>
        <v>2</v>
      </c>
      <c r="NC35" s="207">
        <f t="shared" si="102"/>
        <v>7.3032319999999998E-2</v>
      </c>
      <c r="ND35" s="208">
        <f t="shared" si="103"/>
        <v>3.578524206816927</v>
      </c>
      <c r="NE35" s="209">
        <f t="shared" si="15"/>
        <v>5.1471592050521722E-2</v>
      </c>
      <c r="NF35" s="208">
        <f t="shared" si="16"/>
        <v>7.4591150876762509</v>
      </c>
      <c r="NG35" s="210"/>
      <c r="NH35" s="211">
        <f t="shared" si="104"/>
        <v>79033831</v>
      </c>
      <c r="NI35" s="208">
        <f t="shared" si="17"/>
        <v>261347925</v>
      </c>
      <c r="NJ35" s="212">
        <f t="shared" si="105"/>
        <v>0.47448718511443538</v>
      </c>
      <c r="NK35" s="213">
        <f t="shared" si="106"/>
        <v>0.99986100903613451</v>
      </c>
      <c r="NL35" s="214">
        <f t="shared" si="18"/>
        <v>0.92240204741328768</v>
      </c>
      <c r="NM35" s="208">
        <f t="shared" si="107"/>
        <v>0.49810350752176413</v>
      </c>
      <c r="NN35" s="208">
        <f t="shared" si="19"/>
        <v>1.0821760968294585</v>
      </c>
      <c r="NO35" s="215">
        <f t="shared" si="20"/>
        <v>7.411965340438486E-4</v>
      </c>
      <c r="NP35" s="216" t="str">
        <f t="shared" si="108"/>
        <v/>
      </c>
      <c r="NQ35" s="215" t="str">
        <f t="shared" si="109"/>
        <v/>
      </c>
      <c r="NR35" s="215" t="str">
        <f t="shared" si="110"/>
        <v/>
      </c>
      <c r="NS35" s="215" t="str">
        <f t="shared" si="21"/>
        <v/>
      </c>
      <c r="NT35" s="215" t="str">
        <f t="shared" si="22"/>
        <v/>
      </c>
      <c r="NU35" s="215">
        <f t="shared" si="23"/>
        <v>2.6804518277779205E-2</v>
      </c>
      <c r="NV35" s="215" t="str">
        <f t="shared" si="111"/>
        <v/>
      </c>
      <c r="NW35" s="215" t="str">
        <f t="shared" si="24"/>
        <v/>
      </c>
      <c r="NX35" s="215">
        <f t="shared" si="25"/>
        <v>1.7113437192983059E-2</v>
      </c>
      <c r="NY35" s="215" t="str">
        <f t="shared" si="26"/>
        <v/>
      </c>
      <c r="NZ35" s="215">
        <f t="shared" si="27"/>
        <v>1.2970593541978921E-3</v>
      </c>
      <c r="OA35" s="215">
        <f t="shared" si="28"/>
        <v>0</v>
      </c>
      <c r="OB35" s="215">
        <f t="shared" si="29"/>
        <v>1.3025019588674745E-2</v>
      </c>
      <c r="OC35" s="215">
        <f t="shared" si="30"/>
        <v>1.2559630604918369E-3</v>
      </c>
      <c r="OD35" s="215">
        <f t="shared" si="31"/>
        <v>3.3941166901133597E-3</v>
      </c>
      <c r="OE35" s="215" t="str">
        <f t="shared" si="32"/>
        <v/>
      </c>
      <c r="OF35" s="215" t="str">
        <f t="shared" si="33"/>
        <v/>
      </c>
      <c r="OG35" s="215" t="str">
        <f t="shared" si="34"/>
        <v/>
      </c>
      <c r="OH35" s="215">
        <f t="shared" si="35"/>
        <v>9.4010093017160498E-3</v>
      </c>
      <c r="OI35" s="215">
        <f t="shared" si="112"/>
        <v>7.3032319999999998E-2</v>
      </c>
      <c r="OJ35" s="218">
        <f t="shared" si="113"/>
        <v>0.1007162429254764</v>
      </c>
      <c r="OK35" s="218">
        <f t="shared" si="114"/>
        <v>9.388503547865841E-2</v>
      </c>
      <c r="OL35" s="218" t="str">
        <f t="shared" si="115"/>
        <v/>
      </c>
      <c r="OM35" s="218" t="str">
        <f t="shared" si="116"/>
        <v/>
      </c>
      <c r="ON35" s="217">
        <f t="shared" si="36"/>
        <v>0.33391167900621072</v>
      </c>
      <c r="OO35" s="210"/>
      <c r="OP35" s="210"/>
      <c r="OQ35" s="218" t="str">
        <f t="shared" si="117"/>
        <v/>
      </c>
      <c r="OR35" s="218" t="str">
        <f t="shared" si="118"/>
        <v/>
      </c>
      <c r="OS35" s="218">
        <f t="shared" si="37"/>
        <v>0.86717987031842036</v>
      </c>
      <c r="OT35" s="218">
        <f t="shared" si="38"/>
        <v>0.98164226791067055</v>
      </c>
      <c r="OU35" s="209" t="str">
        <f t="shared" si="39"/>
        <v/>
      </c>
      <c r="OV35" s="209" t="str">
        <f t="shared" si="40"/>
        <v/>
      </c>
      <c r="OW35" s="209">
        <f t="shared" si="119"/>
        <v>5.8390716105766157E-3</v>
      </c>
      <c r="OX35" s="219" t="str">
        <f t="shared" si="41"/>
        <v/>
      </c>
      <c r="OY35" s="208">
        <f t="shared" si="120"/>
        <v>14696976</v>
      </c>
      <c r="OZ35" s="208">
        <f t="shared" si="42"/>
        <v>2268279</v>
      </c>
      <c r="PA35" s="209">
        <f t="shared" si="121"/>
        <v>0.1543364430887007</v>
      </c>
      <c r="PB35" s="209">
        <f>IF(OR($CQ35="",$OZ35=""),"",IF($OZ35=0,0,
GuardLimitUpper(
  ($OZ35-$CQ35)/$OZ35,
  data_GuardLimitFlag,
  1)
))</f>
        <v>0.32066998812756281</v>
      </c>
      <c r="PC35" s="209" t="str">
        <f t="shared" si="43"/>
        <v/>
      </c>
      <c r="PD35" s="209" t="str">
        <f t="shared" si="44"/>
        <v/>
      </c>
      <c r="PE35" s="208">
        <f t="shared" si="122"/>
        <v>1542819</v>
      </c>
      <c r="PF35" s="209">
        <f t="shared" si="123"/>
        <v>0.10497526838174057</v>
      </c>
      <c r="PG35" s="209">
        <f t="shared" si="45"/>
        <v>7.1191111854339365E-2</v>
      </c>
      <c r="PH35" s="209" t="str">
        <f t="shared" si="46"/>
        <v/>
      </c>
      <c r="PI35" s="209" t="str">
        <f t="shared" si="47"/>
        <v/>
      </c>
      <c r="PJ35" s="220" t="str">
        <f t="shared" si="48"/>
        <v/>
      </c>
      <c r="PK35" s="220" t="str">
        <f t="shared" si="49"/>
        <v/>
      </c>
      <c r="PL35" s="221">
        <f t="shared" si="124"/>
        <v>6689159</v>
      </c>
      <c r="PM35" s="221" t="str">
        <f t="shared" si="50"/>
        <v/>
      </c>
      <c r="PN35" s="221">
        <f t="shared" si="125"/>
        <v>0</v>
      </c>
      <c r="PO35" s="221" t="str">
        <f t="shared" si="51"/>
        <v/>
      </c>
      <c r="PP35" s="221" t="str">
        <f t="shared" si="52"/>
        <v/>
      </c>
      <c r="PQ35" s="529" t="str">
        <f t="shared" si="126"/>
        <v/>
      </c>
      <c r="PR35" s="221" t="str">
        <f t="shared" si="53"/>
        <v/>
      </c>
      <c r="PS35" s="221">
        <f t="shared" si="54"/>
        <v>5594508</v>
      </c>
      <c r="PT35" s="221">
        <f t="shared" si="127"/>
        <v>1886489</v>
      </c>
      <c r="PU35" s="221" t="str">
        <f t="shared" si="55"/>
        <v/>
      </c>
      <c r="PV35" s="221">
        <f t="shared" si="128"/>
        <v>0</v>
      </c>
      <c r="PW35" s="221" t="str">
        <f t="shared" si="56"/>
        <v/>
      </c>
      <c r="PX35" s="221" t="str">
        <f t="shared" si="162"/>
        <v/>
      </c>
      <c r="PY35" s="221">
        <f t="shared" si="57"/>
        <v>526820</v>
      </c>
      <c r="PZ35" s="221" t="str">
        <f t="shared" si="58"/>
        <v/>
      </c>
      <c r="QA35" s="221" t="str">
        <f t="shared" si="59"/>
        <v/>
      </c>
      <c r="QB35" s="221" t="str">
        <f t="shared" si="60"/>
        <v/>
      </c>
      <c r="QC35" s="221" t="str">
        <f t="shared" si="61"/>
        <v/>
      </c>
      <c r="QD35" s="221">
        <f t="shared" si="129"/>
        <v>14530691</v>
      </c>
      <c r="QE35" s="221">
        <f t="shared" si="130"/>
        <v>9704856</v>
      </c>
      <c r="QF35" s="221">
        <f t="shared" si="131"/>
        <v>771402</v>
      </c>
      <c r="QG35" s="222" t="str">
        <f t="shared" si="62"/>
        <v/>
      </c>
      <c r="QH35" s="222" t="str">
        <f t="shared" si="63"/>
        <v/>
      </c>
      <c r="QI35" s="222" t="str">
        <f t="shared" si="64"/>
        <v/>
      </c>
      <c r="QJ35" s="222" t="str">
        <f t="shared" si="65"/>
        <v/>
      </c>
      <c r="QK35" s="222" t="str">
        <f t="shared" si="66"/>
        <v/>
      </c>
      <c r="QL35" s="222" t="str">
        <f t="shared" si="132"/>
        <v/>
      </c>
      <c r="QM35" s="222">
        <f>IF(OR($O$8="Lv2",$O$8="Lv3",$O$8="Lv4"),IF(OR($AS35="",COUNT($PL35:$QL35)=0),"",
GuardLimitLower(
  $AS35-SUM($PL35:$QL35),
  data_GuardLimitFlag,
  0)
),"")</f>
        <v>39329906</v>
      </c>
      <c r="QN35" s="222">
        <f t="shared" si="133"/>
        <v>79033831</v>
      </c>
      <c r="QO35" s="222" t="str">
        <f t="shared" si="134"/>
        <v/>
      </c>
      <c r="QP35" s="222" t="str">
        <f t="shared" si="135"/>
        <v/>
      </c>
      <c r="QQ35" s="222" t="str">
        <f t="shared" si="136"/>
        <v/>
      </c>
      <c r="QR35" s="222">
        <f t="shared" si="67"/>
        <v>3.3008380550859453</v>
      </c>
      <c r="QS35" s="209" t="str">
        <f t="shared" si="68"/>
        <v/>
      </c>
      <c r="QT35" s="209" t="str">
        <f t="shared" si="69"/>
        <v/>
      </c>
      <c r="QU35" s="209" t="str">
        <f t="shared" si="70"/>
        <v/>
      </c>
      <c r="QV35" s="208" t="str">
        <f t="shared" si="71"/>
        <v/>
      </c>
      <c r="QW35" s="208" t="str">
        <f t="shared" si="72"/>
        <v/>
      </c>
      <c r="QX35" s="208" t="str">
        <f t="shared" si="73"/>
        <v/>
      </c>
      <c r="QY35" s="208" t="str">
        <f t="shared" si="74"/>
        <v/>
      </c>
      <c r="QZ35" s="208" t="str">
        <f t="shared" si="75"/>
        <v/>
      </c>
      <c r="RA35" s="209" t="str">
        <f t="shared" si="137"/>
        <v/>
      </c>
      <c r="RB35" s="209" t="str">
        <f t="shared" si="76"/>
        <v/>
      </c>
      <c r="RC35" s="209" t="str">
        <f t="shared" si="77"/>
        <v/>
      </c>
      <c r="RD35" s="209" t="str">
        <f t="shared" si="78"/>
        <v/>
      </c>
      <c r="RE35" s="209" t="str">
        <f t="shared" si="79"/>
        <v/>
      </c>
      <c r="RF35" s="209" t="str">
        <f t="shared" si="80"/>
        <v/>
      </c>
      <c r="RG35" s="209" t="str">
        <f t="shared" si="81"/>
        <v/>
      </c>
      <c r="RH35" s="209" t="str">
        <f t="shared" si="82"/>
        <v/>
      </c>
      <c r="RI35" s="209" t="str">
        <f t="shared" si="83"/>
        <v/>
      </c>
      <c r="RJ35" s="134"/>
      <c r="RK35" s="134"/>
      <c r="RL35" s="134"/>
      <c r="RM35" s="134"/>
      <c r="RN35" s="134"/>
      <c r="RO35" s="134"/>
      <c r="RP35" s="134"/>
      <c r="RQ35" s="134"/>
      <c r="RR35" s="222" t="str">
        <f t="shared" si="84"/>
        <v/>
      </c>
      <c r="RS35" s="224"/>
      <c r="RT35" s="224"/>
      <c r="RU35" s="208">
        <f t="shared" si="138"/>
        <v>7.3032319999999998E-2</v>
      </c>
      <c r="RV35" s="208">
        <f t="shared" si="139"/>
        <v>1</v>
      </c>
      <c r="RW35" s="208">
        <f t="shared" si="140"/>
        <v>0.99495425374555146</v>
      </c>
      <c r="RX35" s="208">
        <f t="shared" si="141"/>
        <v>1.0012406795804156</v>
      </c>
      <c r="RY35" s="208">
        <f t="shared" si="142"/>
        <v>0.99313287652592419</v>
      </c>
      <c r="RZ35" s="208">
        <f t="shared" si="85"/>
        <v>0.9923454283678842</v>
      </c>
      <c r="SA35" s="208" t="str">
        <f t="shared" si="86"/>
        <v/>
      </c>
      <c r="SB35" s="208" t="str">
        <f t="shared" si="87"/>
        <v/>
      </c>
      <c r="SC35" s="208" t="str">
        <f t="shared" si="88"/>
        <v/>
      </c>
      <c r="SD35" s="208" t="str">
        <f t="shared" si="89"/>
        <v/>
      </c>
      <c r="SE35" s="208" t="str">
        <f t="shared" si="90"/>
        <v/>
      </c>
      <c r="SF35" s="208" t="str">
        <f t="shared" si="91"/>
        <v/>
      </c>
      <c r="SG35" s="208" t="str">
        <f t="shared" si="92"/>
        <v/>
      </c>
      <c r="SH35" s="208" t="str">
        <f t="shared" si="93"/>
        <v/>
      </c>
      <c r="SI35" s="208" t="str">
        <f t="shared" si="94"/>
        <v/>
      </c>
      <c r="SJ35" s="208" t="str">
        <f t="shared" si="95"/>
        <v/>
      </c>
      <c r="SK35" s="208" t="str">
        <f t="shared" si="96"/>
        <v/>
      </c>
      <c r="SL35" s="208" t="str">
        <f t="shared" si="97"/>
        <v/>
      </c>
      <c r="SM35" s="222">
        <f t="shared" si="143"/>
        <v>3</v>
      </c>
      <c r="SN35" s="225">
        <f t="shared" si="98"/>
        <v>2.4344106666666667E-2</v>
      </c>
      <c r="SO35" s="209">
        <f t="shared" si="144"/>
        <v>0.97985311203803638</v>
      </c>
      <c r="SP35" s="209">
        <f t="shared" si="145"/>
        <v>0.98475358119312761</v>
      </c>
      <c r="SQ35" s="222">
        <f t="shared" si="146"/>
        <v>158669493</v>
      </c>
      <c r="SR35" s="222">
        <f t="shared" si="147"/>
        <v>157868887</v>
      </c>
      <c r="SS35" s="222">
        <f t="shared" si="148"/>
        <v>158866351</v>
      </c>
      <c r="ST35" s="222">
        <f t="shared" si="149"/>
        <v>157579890</v>
      </c>
      <c r="SU35" s="222">
        <f t="shared" si="150"/>
        <v>157454946</v>
      </c>
      <c r="SV35" s="222" t="str">
        <f t="shared" si="151"/>
        <v/>
      </c>
      <c r="SW35" s="222" t="str">
        <f t="shared" si="152"/>
        <v/>
      </c>
      <c r="SX35" s="222" t="str">
        <f t="shared" si="153"/>
        <v/>
      </c>
      <c r="SY35" s="222" t="str">
        <f t="shared" si="154"/>
        <v/>
      </c>
      <c r="SZ35" s="222" t="str">
        <f t="shared" si="155"/>
        <v/>
      </c>
      <c r="TA35" s="222" t="str">
        <f t="shared" si="156"/>
        <v/>
      </c>
      <c r="TB35" s="222" t="str">
        <f t="shared" si="157"/>
        <v/>
      </c>
      <c r="TC35" s="222" t="str">
        <f t="shared" si="99"/>
        <v/>
      </c>
      <c r="TD35" s="222" t="str">
        <f t="shared" si="158"/>
        <v/>
      </c>
      <c r="TE35" s="222" t="str">
        <f t="shared" si="159"/>
        <v/>
      </c>
      <c r="TF35" s="222" t="str">
        <f t="shared" si="160"/>
        <v/>
      </c>
      <c r="TG35" s="222" t="str">
        <f t="shared" si="161"/>
        <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5</v>
      </c>
      <c r="AG36" s="430">
        <v>0</v>
      </c>
      <c r="AH36" s="430" t="s">
        <v>1975</v>
      </c>
      <c r="AI36" s="430">
        <v>1</v>
      </c>
      <c r="AJ36" s="430">
        <v>3</v>
      </c>
      <c r="AK36" s="594">
        <v>7217792</v>
      </c>
      <c r="AL36" s="594">
        <v>156369540</v>
      </c>
      <c r="AM36" s="430">
        <v>67416008</v>
      </c>
      <c r="AN36" s="430">
        <v>37183</v>
      </c>
      <c r="AO36" s="430">
        <v>1606331</v>
      </c>
      <c r="AP36" s="430">
        <v>597540</v>
      </c>
      <c r="AQ36" s="595">
        <v>14031</v>
      </c>
      <c r="AR36" s="595">
        <v>16623</v>
      </c>
      <c r="AS36" s="594">
        <v>78261401</v>
      </c>
      <c r="AT36" s="594">
        <v>38697046</v>
      </c>
      <c r="AU36" s="430" t="s">
        <v>1974</v>
      </c>
      <c r="AV36" s="430" t="s">
        <v>1964</v>
      </c>
      <c r="AW36" s="430">
        <v>0</v>
      </c>
      <c r="AX36" s="430">
        <v>9</v>
      </c>
      <c r="AY36" s="430">
        <v>0</v>
      </c>
      <c r="AZ36" s="430" t="s">
        <v>1975</v>
      </c>
      <c r="BA36" s="430">
        <v>1</v>
      </c>
      <c r="BB36" s="430">
        <v>3</v>
      </c>
      <c r="BC36" s="430">
        <v>7248000</v>
      </c>
      <c r="BD36" s="430">
        <v>158621755</v>
      </c>
      <c r="BE36" s="430">
        <v>131067881</v>
      </c>
      <c r="BF36" s="595">
        <v>7396771</v>
      </c>
      <c r="BG36" s="430">
        <v>59967802</v>
      </c>
      <c r="BH36" s="595">
        <v>942666</v>
      </c>
      <c r="BI36" s="430">
        <v>38450926</v>
      </c>
      <c r="BJ36" s="430">
        <v>29585962</v>
      </c>
      <c r="BK36" s="430">
        <v>0</v>
      </c>
      <c r="BL36" s="430">
        <v>2700749</v>
      </c>
      <c r="BM36" s="430" t="s">
        <v>1974</v>
      </c>
      <c r="BN36" s="430" t="s">
        <v>1964</v>
      </c>
      <c r="BO36" s="430">
        <v>0</v>
      </c>
      <c r="BP36" s="430">
        <v>9</v>
      </c>
      <c r="BQ36" s="430">
        <v>0</v>
      </c>
      <c r="BR36" s="430" t="s">
        <v>1975</v>
      </c>
      <c r="BS36" s="430">
        <v>1</v>
      </c>
      <c r="BT36" s="430">
        <v>3</v>
      </c>
      <c r="BU36" s="430">
        <v>7251360</v>
      </c>
      <c r="BV36" s="430">
        <v>158811077</v>
      </c>
      <c r="BW36" s="594">
        <v>54673304</v>
      </c>
      <c r="BX36" s="594">
        <v>51719292</v>
      </c>
      <c r="BY36" s="430">
        <v>120151869</v>
      </c>
      <c r="BZ36" s="430">
        <v>923099</v>
      </c>
      <c r="CA36" s="430">
        <v>16524902</v>
      </c>
      <c r="CB36" s="430">
        <v>229285548</v>
      </c>
      <c r="CC36" s="430">
        <v>15408900</v>
      </c>
      <c r="CD36" s="430">
        <v>242011930</v>
      </c>
      <c r="CE36" s="430" t="s">
        <v>1974</v>
      </c>
      <c r="CF36" s="430" t="s">
        <v>1964</v>
      </c>
      <c r="CG36" s="430">
        <v>0</v>
      </c>
      <c r="CH36" s="430">
        <v>9</v>
      </c>
      <c r="CI36" s="430">
        <v>0</v>
      </c>
      <c r="CJ36" s="430" t="s">
        <v>1975</v>
      </c>
      <c r="CK36" s="430">
        <v>1</v>
      </c>
      <c r="CL36" s="430">
        <v>3</v>
      </c>
      <c r="CM36" s="430">
        <v>7048288</v>
      </c>
      <c r="CN36" s="430">
        <v>154601258</v>
      </c>
      <c r="CO36" s="430">
        <v>14121</v>
      </c>
      <c r="CP36" s="430">
        <v>2316918</v>
      </c>
      <c r="CQ36" s="430">
        <v>1580230</v>
      </c>
      <c r="CR36" s="430">
        <v>1618163</v>
      </c>
      <c r="CS36" s="430">
        <v>131982</v>
      </c>
      <c r="CT36" s="430">
        <v>0</v>
      </c>
      <c r="CU36" s="430">
        <v>0</v>
      </c>
      <c r="CV36" s="430">
        <v>18146</v>
      </c>
      <c r="CW36" s="430" t="s">
        <v>1974</v>
      </c>
      <c r="CX36" s="430" t="s">
        <v>1964</v>
      </c>
      <c r="CY36" s="430">
        <v>0</v>
      </c>
      <c r="CZ36" s="430">
        <v>9</v>
      </c>
      <c r="DA36" s="430">
        <v>0</v>
      </c>
      <c r="DB36" s="430" t="s">
        <v>1975</v>
      </c>
      <c r="DC36" s="430">
        <v>1</v>
      </c>
      <c r="DD36" s="430">
        <v>3</v>
      </c>
      <c r="DE36" s="430">
        <v>7313984</v>
      </c>
      <c r="DF36" s="430">
        <v>159363782</v>
      </c>
      <c r="DG36" s="430">
        <v>25806399</v>
      </c>
      <c r="DH36" s="430">
        <v>10014928</v>
      </c>
      <c r="DI36" s="430">
        <v>796268</v>
      </c>
      <c r="DJ36" s="430">
        <v>11876388</v>
      </c>
      <c r="DK36" s="430">
        <v>2383485</v>
      </c>
      <c r="DL36" s="430">
        <v>6900757</v>
      </c>
      <c r="DM36" s="430">
        <v>1946197</v>
      </c>
      <c r="DN36" s="430">
        <v>10014475</v>
      </c>
      <c r="DO36" s="595"/>
      <c r="DP36" s="595"/>
      <c r="DQ36" s="595"/>
      <c r="DR36" s="595"/>
      <c r="DS36" s="595"/>
      <c r="DT36" s="595"/>
      <c r="DU36" s="595"/>
      <c r="DV36" s="595"/>
      <c r="DW36" s="595"/>
      <c r="DX36" s="595"/>
      <c r="DY36" s="595"/>
      <c r="DZ36" s="595"/>
      <c r="EA36" s="595"/>
      <c r="EB36" s="430"/>
      <c r="EC36" s="595"/>
      <c r="ED36" s="595"/>
      <c r="EE36" s="595"/>
      <c r="EF36" s="595"/>
      <c r="EG36" s="595"/>
      <c r="EH36" s="595"/>
      <c r="EI36" s="595"/>
      <c r="EJ36" s="595"/>
      <c r="EK36" s="595"/>
      <c r="EL36" s="595"/>
      <c r="EM36" s="595"/>
      <c r="EN36" s="595"/>
      <c r="EO36" s="595"/>
      <c r="EP36" s="595"/>
      <c r="EQ36" s="595"/>
      <c r="ER36" s="595"/>
      <c r="ES36" s="430"/>
      <c r="ET36" s="595"/>
      <c r="EU36" s="595"/>
      <c r="EV36" s="595"/>
      <c r="EW36" s="595"/>
      <c r="EX36" s="595"/>
      <c r="EY36" s="595"/>
      <c r="EZ36" s="595"/>
      <c r="FA36" s="595"/>
      <c r="FB36" s="595"/>
      <c r="FC36" s="595"/>
      <c r="FD36" s="595"/>
      <c r="FE36" s="595"/>
      <c r="FF36" s="595"/>
      <c r="FG36" s="595"/>
      <c r="FH36" s="595"/>
      <c r="FI36" s="595"/>
      <c r="FJ36" s="595"/>
      <c r="FK36" s="595"/>
      <c r="FL36" s="595"/>
      <c r="FM36" s="595"/>
      <c r="FN36" s="595"/>
      <c r="FO36" s="430"/>
      <c r="FP36" s="430"/>
      <c r="FQ36" s="595"/>
      <c r="FR36" s="595"/>
      <c r="FS36" s="595"/>
      <c r="FT36" s="595"/>
      <c r="FU36" s="595"/>
      <c r="FV36" s="595"/>
      <c r="FW36" s="595"/>
      <c r="FX36" s="595"/>
      <c r="FY36" s="595"/>
      <c r="FZ36" s="595"/>
      <c r="GA36" s="595"/>
      <c r="GB36" s="595"/>
      <c r="GC36" s="595"/>
      <c r="GD36" s="595"/>
      <c r="GE36" s="595"/>
      <c r="GF36" s="595"/>
      <c r="GG36" s="595"/>
      <c r="GH36" s="595"/>
      <c r="GI36" s="595"/>
      <c r="GJ36" s="595"/>
      <c r="GK36" s="595"/>
      <c r="GL36" s="595"/>
      <c r="GM36" s="595"/>
      <c r="GN36" s="595"/>
      <c r="GO36" s="595"/>
      <c r="GP36" s="595"/>
      <c r="GQ36" s="595"/>
      <c r="GR36" s="595"/>
      <c r="GS36" s="595"/>
      <c r="GT36" s="595"/>
      <c r="GU36" s="595"/>
      <c r="GV36" s="595"/>
      <c r="GW36" s="595"/>
      <c r="GX36" s="595"/>
      <c r="GY36" s="595"/>
      <c r="GZ36" s="595"/>
      <c r="HA36" s="595"/>
      <c r="HB36" s="595"/>
      <c r="HC36" s="595"/>
      <c r="HD36" s="595"/>
      <c r="HE36" s="595"/>
      <c r="HF36" s="595"/>
      <c r="HG36" s="595"/>
      <c r="HH36" s="595"/>
      <c r="HI36" s="595"/>
      <c r="HJ36" s="595"/>
      <c r="HK36" s="595"/>
      <c r="HL36" s="595"/>
      <c r="HM36" s="595"/>
      <c r="HN36" s="595"/>
      <c r="HO36" s="595"/>
      <c r="HP36" s="595"/>
      <c r="HQ36" s="595"/>
      <c r="HR36" s="595"/>
      <c r="HS36" s="595"/>
      <c r="HT36" s="595"/>
      <c r="HU36" s="595"/>
      <c r="HV36" s="595"/>
      <c r="HW36" s="595"/>
      <c r="HX36" s="595"/>
      <c r="HY36" s="595"/>
      <c r="HZ36" s="595"/>
      <c r="IA36" s="595"/>
      <c r="IB36" s="595"/>
      <c r="IC36" s="595"/>
      <c r="ID36" s="595"/>
      <c r="IE36" s="595"/>
      <c r="IF36" s="595"/>
      <c r="IG36" s="595"/>
      <c r="IH36" s="595"/>
      <c r="II36" s="595"/>
      <c r="IJ36" s="595"/>
      <c r="IK36" s="595"/>
      <c r="IL36" s="595"/>
      <c r="IM36" s="595"/>
      <c r="IN36" s="595"/>
      <c r="IO36" s="595"/>
      <c r="IP36" s="595"/>
      <c r="IQ36" s="595"/>
      <c r="IR36" s="595"/>
      <c r="IS36" s="595"/>
      <c r="IT36" s="595"/>
      <c r="IU36" s="595"/>
      <c r="IV36" s="595"/>
      <c r="IW36" s="595"/>
      <c r="IX36" s="595"/>
      <c r="IY36" s="595"/>
      <c r="IZ36" s="595"/>
      <c r="JA36" s="595"/>
      <c r="JB36" s="595"/>
      <c r="JC36" s="595"/>
      <c r="JD36" s="595"/>
      <c r="JE36" s="595"/>
      <c r="JF36" s="595"/>
      <c r="JG36" s="595"/>
      <c r="JH36" s="595"/>
      <c r="JI36" s="595"/>
      <c r="JJ36" s="595"/>
      <c r="JK36" s="595"/>
      <c r="JL36" s="595"/>
      <c r="JM36" s="595"/>
      <c r="JN36" s="595"/>
      <c r="JO36" s="595"/>
      <c r="JP36" s="595"/>
      <c r="JQ36" s="595"/>
      <c r="JR36" s="595"/>
      <c r="JS36" s="595"/>
      <c r="JT36" s="595"/>
      <c r="JU36" s="595"/>
      <c r="JV36" s="595"/>
      <c r="JW36" s="595"/>
      <c r="JX36" s="595"/>
      <c r="JY36" s="595"/>
      <c r="JZ36" s="595"/>
      <c r="KA36" s="595"/>
      <c r="KB36" s="595"/>
      <c r="KC36" s="595"/>
      <c r="KD36" s="595"/>
      <c r="KE36" s="595"/>
      <c r="KF36" s="595"/>
      <c r="KG36" s="595"/>
      <c r="KH36" s="595"/>
      <c r="KI36" s="595"/>
      <c r="KJ36" s="595"/>
      <c r="KK36" s="595"/>
      <c r="KL36" s="595"/>
      <c r="KM36" s="595"/>
      <c r="KN36" s="595"/>
      <c r="KO36" s="595"/>
      <c r="KP36" s="595"/>
      <c r="KQ36" s="595"/>
      <c r="KR36" s="595"/>
      <c r="KS36" s="595"/>
      <c r="KT36" s="595"/>
      <c r="KU36" s="595"/>
      <c r="KV36" s="595"/>
      <c r="KW36" s="595"/>
      <c r="KX36" s="595"/>
      <c r="KY36" s="595"/>
      <c r="KZ36" s="595"/>
      <c r="LA36" s="595"/>
      <c r="LB36" s="595"/>
      <c r="LC36" s="595"/>
      <c r="LD36" s="595"/>
      <c r="LE36" s="595"/>
      <c r="LF36" s="595"/>
      <c r="LG36" s="595"/>
      <c r="LH36" s="595"/>
      <c r="LI36" s="595"/>
      <c r="LJ36" s="595"/>
      <c r="LK36" s="595"/>
      <c r="LL36" s="595"/>
      <c r="LM36" s="595"/>
      <c r="LN36" s="595"/>
      <c r="LO36" s="595"/>
      <c r="LP36" s="595"/>
      <c r="LQ36" s="595"/>
      <c r="LR36" s="595"/>
      <c r="LS36" s="595"/>
      <c r="LT36" s="595"/>
      <c r="LU36" s="595"/>
      <c r="LV36" s="595"/>
      <c r="MC36" s="252" t="s">
        <v>1776</v>
      </c>
      <c r="MD36" s="371"/>
      <c r="ME36" s="372"/>
      <c r="MF36" s="372"/>
      <c r="MG36" s="372"/>
      <c r="MH36" s="372"/>
      <c r="MI36" s="372"/>
      <c r="MJ36" s="372"/>
      <c r="MK36" s="372"/>
      <c r="ML36" s="372"/>
      <c r="MM36" s="372"/>
      <c r="MN36" s="372"/>
      <c r="MO36" s="372"/>
      <c r="MP36" s="372"/>
      <c r="MQ36" s="372"/>
      <c r="MR36" s="372"/>
      <c r="MS36" s="372"/>
      <c r="MT36" s="373"/>
      <c r="NA36" s="424">
        <f t="shared" si="100"/>
        <v>5</v>
      </c>
      <c r="NB36" s="424">
        <f t="shared" si="101"/>
        <v>0</v>
      </c>
      <c r="NC36" s="207">
        <f t="shared" si="102"/>
        <v>7.2177920000000007E-2</v>
      </c>
      <c r="ND36" s="208">
        <f t="shared" si="103"/>
        <v>3.7366166135017465</v>
      </c>
      <c r="NE36" s="209">
        <f t="shared" si="15"/>
        <v>5.3745509283683116E-2</v>
      </c>
      <c r="NF36" s="208">
        <f t="shared" si="16"/>
        <v>7.7079465853269244</v>
      </c>
      <c r="NG36" s="210"/>
      <c r="NH36" s="211">
        <f t="shared" si="104"/>
        <v>78261401</v>
      </c>
      <c r="NI36" s="208">
        <f t="shared" si="17"/>
        <v>269701215</v>
      </c>
      <c r="NJ36" s="212">
        <f t="shared" si="105"/>
        <v>0.49445889679383581</v>
      </c>
      <c r="NK36" s="213">
        <f t="shared" si="106"/>
        <v>0.99986213261961021</v>
      </c>
      <c r="NL36" s="214">
        <f t="shared" si="18"/>
        <v>0.9224110669628377</v>
      </c>
      <c r="NM36" s="208">
        <f t="shared" si="107"/>
        <v>0.50049006347399883</v>
      </c>
      <c r="NN36" s="208">
        <f t="shared" si="19"/>
        <v>1.0842845152645018</v>
      </c>
      <c r="NO36" s="215">
        <f t="shared" si="20"/>
        <v>4.2894287189496804E-4</v>
      </c>
      <c r="NP36" s="216" t="str">
        <f t="shared" si="108"/>
        <v/>
      </c>
      <c r="NQ36" s="215" t="str">
        <f t="shared" si="109"/>
        <v/>
      </c>
      <c r="NR36" s="215" t="str">
        <f t="shared" si="110"/>
        <v/>
      </c>
      <c r="NS36" s="215" t="str">
        <f t="shared" si="21"/>
        <v/>
      </c>
      <c r="NT36" s="215" t="str">
        <f t="shared" si="22"/>
        <v/>
      </c>
      <c r="NU36" s="215">
        <f t="shared" si="23"/>
        <v>2.6858305433558719E-2</v>
      </c>
      <c r="NV36" s="215" t="str">
        <f t="shared" si="111"/>
        <v/>
      </c>
      <c r="NW36" s="215" t="str">
        <f t="shared" si="24"/>
        <v/>
      </c>
      <c r="NX36" s="215">
        <f t="shared" si="25"/>
        <v>1.7496388567595413E-2</v>
      </c>
      <c r="NY36" s="215" t="str">
        <f t="shared" si="26"/>
        <v/>
      </c>
      <c r="NZ36" s="215">
        <f t="shared" si="27"/>
        <v>1.393848876169098E-3</v>
      </c>
      <c r="OA36" s="215">
        <f t="shared" si="28"/>
        <v>0</v>
      </c>
      <c r="OB36" s="215">
        <f t="shared" si="29"/>
        <v>1.2233623017832328E-2</v>
      </c>
      <c r="OC36" s="215">
        <f t="shared" si="30"/>
        <v>1.2289262923744603E-3</v>
      </c>
      <c r="OD36" s="215">
        <f t="shared" si="31"/>
        <v>3.3657649639314614E-3</v>
      </c>
      <c r="OE36" s="215" t="str">
        <f t="shared" si="32"/>
        <v/>
      </c>
      <c r="OF36" s="215" t="str">
        <f t="shared" si="33"/>
        <v/>
      </c>
      <c r="OG36" s="215" t="str">
        <f t="shared" si="34"/>
        <v/>
      </c>
      <c r="OH36" s="215">
        <f t="shared" si="35"/>
        <v>9.1721199766435571E-3</v>
      </c>
      <c r="OI36" s="215">
        <f t="shared" si="112"/>
        <v>7.2177920000000007E-2</v>
      </c>
      <c r="OJ36" s="218">
        <f t="shared" si="113"/>
        <v>0.10405383750404262</v>
      </c>
      <c r="OK36" s="218">
        <f t="shared" si="114"/>
        <v>9.7026607281304439E-2</v>
      </c>
      <c r="OL36" s="218" t="str">
        <f t="shared" si="115"/>
        <v/>
      </c>
      <c r="OM36" s="218" t="str">
        <f t="shared" si="116"/>
        <v/>
      </c>
      <c r="ON36" s="217">
        <f t="shared" si="36"/>
        <v>0.33496591676662452</v>
      </c>
      <c r="OO36" s="210"/>
      <c r="OP36" s="210"/>
      <c r="OQ36" s="218" t="str">
        <f t="shared" si="117"/>
        <v/>
      </c>
      <c r="OR36" s="218" t="str">
        <f t="shared" si="118"/>
        <v/>
      </c>
      <c r="OS36" s="218">
        <f t="shared" si="37"/>
        <v>0.8671970792928152</v>
      </c>
      <c r="OT36" s="218">
        <f t="shared" si="38"/>
        <v>0.98162397218490616</v>
      </c>
      <c r="OU36" s="209" t="str">
        <f t="shared" si="39"/>
        <v/>
      </c>
      <c r="OV36" s="209" t="str">
        <f t="shared" si="40"/>
        <v/>
      </c>
      <c r="OW36" s="209">
        <f t="shared" si="119"/>
        <v>5.8125605432422069E-3</v>
      </c>
      <c r="OX36" s="219" t="str">
        <f t="shared" si="41"/>
        <v/>
      </c>
      <c r="OY36" s="208">
        <f t="shared" si="120"/>
        <v>14259873</v>
      </c>
      <c r="OZ36" s="208">
        <f t="shared" si="42"/>
        <v>2316918</v>
      </c>
      <c r="PA36" s="209">
        <f t="shared" si="121"/>
        <v>0.16247816512811861</v>
      </c>
      <c r="PB36" s="209">
        <f>IF(OR($CQ36="",$OZ36=""),"",IF($OZ36=0,0,
GuardLimitUpper(
  ($OZ36-$CQ36)/$OZ36,
  data_GuardLimitFlag,
  1)
))</f>
        <v>0.31796032487986198</v>
      </c>
      <c r="PC36" s="209" t="str">
        <f t="shared" si="43"/>
        <v/>
      </c>
      <c r="PD36" s="209" t="str">
        <f t="shared" si="44"/>
        <v/>
      </c>
      <c r="PE36" s="208">
        <f t="shared" si="122"/>
        <v>1575677</v>
      </c>
      <c r="PF36" s="209">
        <f t="shared" si="123"/>
        <v>0.11049726740203086</v>
      </c>
      <c r="PG36" s="209">
        <f t="shared" si="45"/>
        <v>7.4800228727080489E-2</v>
      </c>
      <c r="PH36" s="209" t="str">
        <f t="shared" si="46"/>
        <v/>
      </c>
      <c r="PI36" s="209" t="str">
        <f t="shared" si="47"/>
        <v/>
      </c>
      <c r="PJ36" s="220" t="str">
        <f t="shared" si="48"/>
        <v/>
      </c>
      <c r="PK36" s="220" t="str">
        <f t="shared" si="49"/>
        <v/>
      </c>
      <c r="PL36" s="221">
        <f t="shared" si="124"/>
        <v>6900757</v>
      </c>
      <c r="PM36" s="221" t="str">
        <f t="shared" si="50"/>
        <v/>
      </c>
      <c r="PN36" s="221">
        <f t="shared" si="125"/>
        <v>0</v>
      </c>
      <c r="PO36" s="221" t="str">
        <f t="shared" si="51"/>
        <v/>
      </c>
      <c r="PP36" s="221" t="str">
        <f t="shared" si="52"/>
        <v/>
      </c>
      <c r="PQ36" s="529" t="str">
        <f t="shared" si="126"/>
        <v/>
      </c>
      <c r="PR36" s="221" t="str">
        <f t="shared" si="53"/>
        <v/>
      </c>
      <c r="PS36" s="221">
        <f t="shared" si="54"/>
        <v>4975631</v>
      </c>
      <c r="PT36" s="221">
        <f t="shared" si="127"/>
        <v>1946197</v>
      </c>
      <c r="PU36" s="221" t="str">
        <f t="shared" si="55"/>
        <v/>
      </c>
      <c r="PV36" s="221">
        <f t="shared" si="128"/>
        <v>0</v>
      </c>
      <c r="PW36" s="221" t="str">
        <f t="shared" si="56"/>
        <v/>
      </c>
      <c r="PX36" s="221" t="str">
        <f t="shared" si="162"/>
        <v/>
      </c>
      <c r="PY36" s="221">
        <f t="shared" si="57"/>
        <v>437288</v>
      </c>
      <c r="PZ36" s="221" t="str">
        <f t="shared" si="58"/>
        <v/>
      </c>
      <c r="QA36" s="221" t="str">
        <f t="shared" si="59"/>
        <v/>
      </c>
      <c r="QB36" s="221" t="str">
        <f t="shared" si="60"/>
        <v/>
      </c>
      <c r="QC36" s="221" t="str">
        <f t="shared" si="61"/>
        <v/>
      </c>
      <c r="QD36" s="221">
        <f t="shared" si="129"/>
        <v>14995203</v>
      </c>
      <c r="QE36" s="221">
        <f t="shared" si="130"/>
        <v>10014928</v>
      </c>
      <c r="QF36" s="221">
        <f t="shared" si="131"/>
        <v>796268</v>
      </c>
      <c r="QG36" s="222" t="str">
        <f t="shared" si="62"/>
        <v/>
      </c>
      <c r="QH36" s="222" t="str">
        <f t="shared" si="63"/>
        <v/>
      </c>
      <c r="QI36" s="222" t="str">
        <f t="shared" si="64"/>
        <v/>
      </c>
      <c r="QJ36" s="222" t="str">
        <f t="shared" si="65"/>
        <v/>
      </c>
      <c r="QK36" s="222" t="str">
        <f t="shared" si="66"/>
        <v/>
      </c>
      <c r="QL36" s="222" t="str">
        <f t="shared" si="132"/>
        <v/>
      </c>
      <c r="QM36" s="222">
        <f>IF(OR($O$8="Lv2",$O$8="Lv3",$O$8="Lv4"),IF(OR($AS36="",COUNT($PL36:$QL36)=0),"",
GuardLimitLower(
  $AS36-SUM($PL36:$QL36),
  data_GuardLimitFlag,
  0)
),"")</f>
        <v>38195129</v>
      </c>
      <c r="QN36" s="222">
        <f t="shared" si="133"/>
        <v>78261401</v>
      </c>
      <c r="QO36" s="222" t="str">
        <f t="shared" si="134"/>
        <v/>
      </c>
      <c r="QP36" s="222" t="str">
        <f t="shared" si="135"/>
        <v/>
      </c>
      <c r="QQ36" s="222" t="str">
        <f t="shared" si="136"/>
        <v/>
      </c>
      <c r="QR36" s="222">
        <f t="shared" si="67"/>
        <v>3.4466965172912114</v>
      </c>
      <c r="QS36" s="209" t="str">
        <f t="shared" si="68"/>
        <v/>
      </c>
      <c r="QT36" s="209" t="str">
        <f t="shared" si="69"/>
        <v/>
      </c>
      <c r="QU36" s="209" t="str">
        <f t="shared" si="70"/>
        <v/>
      </c>
      <c r="QV36" s="208" t="str">
        <f t="shared" si="71"/>
        <v/>
      </c>
      <c r="QW36" s="208" t="str">
        <f t="shared" si="72"/>
        <v/>
      </c>
      <c r="QX36" s="208" t="str">
        <f t="shared" si="73"/>
        <v/>
      </c>
      <c r="QY36" s="208" t="str">
        <f t="shared" si="74"/>
        <v/>
      </c>
      <c r="QZ36" s="208" t="str">
        <f t="shared" si="75"/>
        <v/>
      </c>
      <c r="RA36" s="209" t="str">
        <f t="shared" si="137"/>
        <v/>
      </c>
      <c r="RB36" s="209" t="str">
        <f t="shared" si="76"/>
        <v/>
      </c>
      <c r="RC36" s="209" t="str">
        <f t="shared" si="77"/>
        <v/>
      </c>
      <c r="RD36" s="209" t="str">
        <f t="shared" si="78"/>
        <v/>
      </c>
      <c r="RE36" s="209" t="str">
        <f t="shared" si="79"/>
        <v/>
      </c>
      <c r="RF36" s="209" t="str">
        <f t="shared" si="80"/>
        <v/>
      </c>
      <c r="RG36" s="209" t="str">
        <f t="shared" si="81"/>
        <v/>
      </c>
      <c r="RH36" s="209" t="str">
        <f t="shared" si="82"/>
        <v/>
      </c>
      <c r="RI36" s="209" t="str">
        <f t="shared" si="83"/>
        <v/>
      </c>
      <c r="RJ36" s="134"/>
      <c r="RK36" s="134"/>
      <c r="RL36" s="134"/>
      <c r="RM36" s="134"/>
      <c r="RN36" s="134"/>
      <c r="RO36" s="134"/>
      <c r="RP36" s="134"/>
      <c r="RQ36" s="134"/>
      <c r="RR36" s="222" t="str">
        <f t="shared" si="84"/>
        <v/>
      </c>
      <c r="RS36" s="224"/>
      <c r="RT36" s="224"/>
      <c r="RU36" s="208">
        <f t="shared" si="138"/>
        <v>7.2177920000000007E-2</v>
      </c>
      <c r="RV36" s="208">
        <f t="shared" si="139"/>
        <v>1</v>
      </c>
      <c r="RW36" s="208">
        <f t="shared" si="140"/>
        <v>1.0144031567784877</v>
      </c>
      <c r="RX36" s="208">
        <f t="shared" si="141"/>
        <v>1.0156138912987784</v>
      </c>
      <c r="RY36" s="208">
        <f t="shared" si="142"/>
        <v>0.98869164672352428</v>
      </c>
      <c r="RZ36" s="208">
        <f t="shared" si="85"/>
        <v>1.0191484991258528</v>
      </c>
      <c r="SA36" s="208" t="str">
        <f t="shared" si="86"/>
        <v/>
      </c>
      <c r="SB36" s="208" t="str">
        <f t="shared" si="87"/>
        <v/>
      </c>
      <c r="SC36" s="208" t="str">
        <f t="shared" si="88"/>
        <v/>
      </c>
      <c r="SD36" s="208" t="str">
        <f t="shared" si="89"/>
        <v/>
      </c>
      <c r="SE36" s="208" t="str">
        <f t="shared" si="90"/>
        <v/>
      </c>
      <c r="SF36" s="208" t="str">
        <f t="shared" si="91"/>
        <v/>
      </c>
      <c r="SG36" s="208" t="str">
        <f t="shared" si="92"/>
        <v/>
      </c>
      <c r="SH36" s="208" t="str">
        <f t="shared" si="93"/>
        <v/>
      </c>
      <c r="SI36" s="208" t="str">
        <f t="shared" si="94"/>
        <v/>
      </c>
      <c r="SJ36" s="208" t="str">
        <f t="shared" si="95"/>
        <v/>
      </c>
      <c r="SK36" s="208" t="str">
        <f t="shared" si="96"/>
        <v/>
      </c>
      <c r="SL36" s="208" t="str">
        <f t="shared" si="97"/>
        <v/>
      </c>
      <c r="SM36" s="222">
        <f t="shared" si="143"/>
        <v>3</v>
      </c>
      <c r="SN36" s="225">
        <f t="shared" si="98"/>
        <v>2.4059306666666669E-2</v>
      </c>
      <c r="SO36" s="209">
        <f t="shared" si="144"/>
        <v>0.9685583839114853</v>
      </c>
      <c r="SP36" s="209">
        <f t="shared" si="145"/>
        <v>0.97512918112170743</v>
      </c>
      <c r="SQ36" s="222">
        <f t="shared" si="146"/>
        <v>156369540</v>
      </c>
      <c r="SR36" s="222">
        <f t="shared" si="147"/>
        <v>158621755</v>
      </c>
      <c r="SS36" s="222">
        <f t="shared" si="148"/>
        <v>158811077</v>
      </c>
      <c r="ST36" s="222">
        <f t="shared" si="149"/>
        <v>154601258</v>
      </c>
      <c r="SU36" s="222">
        <f t="shared" si="150"/>
        <v>159363782</v>
      </c>
      <c r="SV36" s="222" t="str">
        <f t="shared" si="151"/>
        <v/>
      </c>
      <c r="SW36" s="222" t="str">
        <f t="shared" si="152"/>
        <v/>
      </c>
      <c r="SX36" s="222" t="str">
        <f t="shared" si="153"/>
        <v/>
      </c>
      <c r="SY36" s="222" t="str">
        <f t="shared" si="154"/>
        <v/>
      </c>
      <c r="SZ36" s="222" t="str">
        <f t="shared" si="155"/>
        <v/>
      </c>
      <c r="TA36" s="222" t="str">
        <f t="shared" si="156"/>
        <v/>
      </c>
      <c r="TB36" s="222" t="str">
        <f t="shared" si="157"/>
        <v/>
      </c>
      <c r="TC36" s="222" t="str">
        <f t="shared" si="99"/>
        <v/>
      </c>
      <c r="TD36" s="222" t="str">
        <f t="shared" si="158"/>
        <v/>
      </c>
      <c r="TE36" s="222" t="str">
        <f t="shared" si="159"/>
        <v/>
      </c>
      <c r="TF36" s="222" t="str">
        <f t="shared" si="160"/>
        <v/>
      </c>
      <c r="TG36" s="222" t="str">
        <f t="shared" si="161"/>
        <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5</v>
      </c>
      <c r="AG37" s="430">
        <v>1</v>
      </c>
      <c r="AH37" s="430" t="s">
        <v>1975</v>
      </c>
      <c r="AI37" s="430">
        <v>1</v>
      </c>
      <c r="AJ37" s="430">
        <v>3</v>
      </c>
      <c r="AK37" s="594">
        <v>7213664</v>
      </c>
      <c r="AL37" s="594">
        <v>156290514</v>
      </c>
      <c r="AM37" s="430">
        <v>65327900</v>
      </c>
      <c r="AN37" s="430">
        <v>36325</v>
      </c>
      <c r="AO37" s="430">
        <v>1557778</v>
      </c>
      <c r="AP37" s="430">
        <v>554965</v>
      </c>
      <c r="AQ37" s="595">
        <v>13099</v>
      </c>
      <c r="AR37" s="595">
        <v>16211</v>
      </c>
      <c r="AS37" s="594">
        <v>79715388</v>
      </c>
      <c r="AT37" s="594">
        <v>37500540</v>
      </c>
      <c r="AU37" s="430" t="s">
        <v>1974</v>
      </c>
      <c r="AV37" s="430" t="s">
        <v>1964</v>
      </c>
      <c r="AW37" s="430">
        <v>0</v>
      </c>
      <c r="AX37" s="430">
        <v>9</v>
      </c>
      <c r="AY37" s="430">
        <v>1</v>
      </c>
      <c r="AZ37" s="430" t="s">
        <v>1975</v>
      </c>
      <c r="BA37" s="430">
        <v>1</v>
      </c>
      <c r="BB37" s="430">
        <v>3</v>
      </c>
      <c r="BC37" s="430">
        <v>7245664</v>
      </c>
      <c r="BD37" s="430">
        <v>158603976</v>
      </c>
      <c r="BE37" s="430">
        <v>130542147</v>
      </c>
      <c r="BF37" s="595">
        <v>7574937</v>
      </c>
      <c r="BG37" s="430">
        <v>62230893</v>
      </c>
      <c r="BH37" s="595">
        <v>907554</v>
      </c>
      <c r="BI37" s="430">
        <v>37468518</v>
      </c>
      <c r="BJ37" s="430">
        <v>27696938</v>
      </c>
      <c r="BK37" s="430">
        <v>0</v>
      </c>
      <c r="BL37" s="430">
        <v>2522873</v>
      </c>
      <c r="BM37" s="430" t="s">
        <v>1974</v>
      </c>
      <c r="BN37" s="430" t="s">
        <v>1964</v>
      </c>
      <c r="BO37" s="430">
        <v>0</v>
      </c>
      <c r="BP37" s="430">
        <v>9</v>
      </c>
      <c r="BQ37" s="430">
        <v>1</v>
      </c>
      <c r="BR37" s="430" t="s">
        <v>1975</v>
      </c>
      <c r="BS37" s="430">
        <v>1</v>
      </c>
      <c r="BT37" s="430">
        <v>3</v>
      </c>
      <c r="BU37" s="430">
        <v>7247200</v>
      </c>
      <c r="BV37" s="430">
        <v>158867333</v>
      </c>
      <c r="BW37" s="594">
        <v>55023815</v>
      </c>
      <c r="BX37" s="594">
        <v>51266014</v>
      </c>
      <c r="BY37" s="430">
        <v>120187538</v>
      </c>
      <c r="BZ37" s="430">
        <v>974430</v>
      </c>
      <c r="CA37" s="430">
        <v>16007186</v>
      </c>
      <c r="CB37" s="430">
        <v>222102964</v>
      </c>
      <c r="CC37" s="430">
        <v>14922730</v>
      </c>
      <c r="CD37" s="430">
        <v>234390370</v>
      </c>
      <c r="CE37" s="430" t="s">
        <v>1974</v>
      </c>
      <c r="CF37" s="430" t="s">
        <v>1964</v>
      </c>
      <c r="CG37" s="430">
        <v>0</v>
      </c>
      <c r="CH37" s="430">
        <v>9</v>
      </c>
      <c r="CI37" s="430">
        <v>1</v>
      </c>
      <c r="CJ37" s="430" t="s">
        <v>1975</v>
      </c>
      <c r="CK37" s="430">
        <v>1</v>
      </c>
      <c r="CL37" s="430">
        <v>3</v>
      </c>
      <c r="CM37" s="430">
        <v>7038560</v>
      </c>
      <c r="CN37" s="430">
        <v>154634982</v>
      </c>
      <c r="CO37" s="430">
        <v>13362</v>
      </c>
      <c r="CP37" s="430">
        <v>2252290</v>
      </c>
      <c r="CQ37" s="430">
        <v>1539113</v>
      </c>
      <c r="CR37" s="430">
        <v>1579536</v>
      </c>
      <c r="CS37" s="430">
        <v>128900</v>
      </c>
      <c r="CT37" s="430">
        <v>0</v>
      </c>
      <c r="CU37" s="430">
        <v>0</v>
      </c>
      <c r="CV37" s="430">
        <v>17580</v>
      </c>
      <c r="CW37" s="430" t="s">
        <v>1974</v>
      </c>
      <c r="CX37" s="430" t="s">
        <v>1964</v>
      </c>
      <c r="CY37" s="430">
        <v>0</v>
      </c>
      <c r="CZ37" s="430">
        <v>9</v>
      </c>
      <c r="DA37" s="430">
        <v>1</v>
      </c>
      <c r="DB37" s="430" t="s">
        <v>1975</v>
      </c>
      <c r="DC37" s="430">
        <v>1</v>
      </c>
      <c r="DD37" s="430">
        <v>3</v>
      </c>
      <c r="DE37" s="430">
        <v>7310016</v>
      </c>
      <c r="DF37" s="430">
        <v>158684380</v>
      </c>
      <c r="DG37" s="430">
        <v>25006949</v>
      </c>
      <c r="DH37" s="430">
        <v>9704856</v>
      </c>
      <c r="DI37" s="430">
        <v>771402</v>
      </c>
      <c r="DJ37" s="430">
        <v>12288016</v>
      </c>
      <c r="DK37" s="430">
        <v>2387240</v>
      </c>
      <c r="DL37" s="430">
        <v>6689110</v>
      </c>
      <c r="DM37" s="430">
        <v>1886473</v>
      </c>
      <c r="DN37" s="430">
        <v>9740725</v>
      </c>
      <c r="DO37" s="595"/>
      <c r="DP37" s="595"/>
      <c r="DQ37" s="595"/>
      <c r="DR37" s="595"/>
      <c r="DS37" s="595"/>
      <c r="DT37" s="595"/>
      <c r="DU37" s="595"/>
      <c r="DV37" s="595"/>
      <c r="DW37" s="595"/>
      <c r="DX37" s="595"/>
      <c r="DY37" s="595"/>
      <c r="DZ37" s="595"/>
      <c r="EA37" s="595"/>
      <c r="EB37" s="430"/>
      <c r="EC37" s="595"/>
      <c r="ED37" s="595"/>
      <c r="EE37" s="595"/>
      <c r="EF37" s="595"/>
      <c r="EG37" s="595"/>
      <c r="EH37" s="595"/>
      <c r="EI37" s="595"/>
      <c r="EJ37" s="595"/>
      <c r="EK37" s="595"/>
      <c r="EL37" s="595"/>
      <c r="EM37" s="595"/>
      <c r="EN37" s="595"/>
      <c r="EO37" s="595"/>
      <c r="EP37" s="595"/>
      <c r="EQ37" s="595"/>
      <c r="ER37" s="595"/>
      <c r="ES37" s="430"/>
      <c r="ET37" s="595"/>
      <c r="EU37" s="595"/>
      <c r="EV37" s="595"/>
      <c r="EW37" s="595"/>
      <c r="EX37" s="595"/>
      <c r="EY37" s="595"/>
      <c r="EZ37" s="595"/>
      <c r="FA37" s="595"/>
      <c r="FB37" s="595"/>
      <c r="FC37" s="595"/>
      <c r="FD37" s="595"/>
      <c r="FE37" s="595"/>
      <c r="FF37" s="595"/>
      <c r="FG37" s="595"/>
      <c r="FH37" s="595"/>
      <c r="FI37" s="595"/>
      <c r="FJ37" s="595"/>
      <c r="FK37" s="595"/>
      <c r="FL37" s="595"/>
      <c r="FM37" s="595"/>
      <c r="FN37" s="595"/>
      <c r="FO37" s="430"/>
      <c r="FP37" s="430"/>
      <c r="FQ37" s="595"/>
      <c r="FR37" s="595"/>
      <c r="FS37" s="595"/>
      <c r="FT37" s="595"/>
      <c r="FU37" s="595"/>
      <c r="FV37" s="595"/>
      <c r="FW37" s="595"/>
      <c r="FX37" s="595"/>
      <c r="FY37" s="595"/>
      <c r="FZ37" s="595"/>
      <c r="GA37" s="595"/>
      <c r="GB37" s="595"/>
      <c r="GC37" s="595"/>
      <c r="GD37" s="595"/>
      <c r="GE37" s="595"/>
      <c r="GF37" s="595"/>
      <c r="GG37" s="595"/>
      <c r="GH37" s="595"/>
      <c r="GI37" s="595"/>
      <c r="GJ37" s="595"/>
      <c r="GK37" s="595"/>
      <c r="GL37" s="595"/>
      <c r="GM37" s="595"/>
      <c r="GN37" s="595"/>
      <c r="GO37" s="595"/>
      <c r="GP37" s="595"/>
      <c r="GQ37" s="595"/>
      <c r="GR37" s="595"/>
      <c r="GS37" s="595"/>
      <c r="GT37" s="595"/>
      <c r="GU37" s="595"/>
      <c r="GV37" s="595"/>
      <c r="GW37" s="595"/>
      <c r="GX37" s="595"/>
      <c r="GY37" s="595"/>
      <c r="GZ37" s="595"/>
      <c r="HA37" s="595"/>
      <c r="HB37" s="595"/>
      <c r="HC37" s="595"/>
      <c r="HD37" s="595"/>
      <c r="HE37" s="595"/>
      <c r="HF37" s="595"/>
      <c r="HG37" s="595"/>
      <c r="HH37" s="595"/>
      <c r="HI37" s="595"/>
      <c r="HJ37" s="595"/>
      <c r="HK37" s="595"/>
      <c r="HL37" s="595"/>
      <c r="HM37" s="595"/>
      <c r="HN37" s="595"/>
      <c r="HO37" s="595"/>
      <c r="HP37" s="595"/>
      <c r="HQ37" s="595"/>
      <c r="HR37" s="595"/>
      <c r="HS37" s="595"/>
      <c r="HT37" s="595"/>
      <c r="HU37" s="595"/>
      <c r="HV37" s="595"/>
      <c r="HW37" s="595"/>
      <c r="HX37" s="595"/>
      <c r="HY37" s="595"/>
      <c r="HZ37" s="595"/>
      <c r="IA37" s="595"/>
      <c r="IB37" s="595"/>
      <c r="IC37" s="595"/>
      <c r="ID37" s="595"/>
      <c r="IE37" s="595"/>
      <c r="IF37" s="595"/>
      <c r="IG37" s="595"/>
      <c r="IH37" s="595"/>
      <c r="II37" s="595"/>
      <c r="IJ37" s="595"/>
      <c r="IK37" s="595"/>
      <c r="IL37" s="595"/>
      <c r="IM37" s="595"/>
      <c r="IN37" s="595"/>
      <c r="IO37" s="595"/>
      <c r="IP37" s="595"/>
      <c r="IQ37" s="595"/>
      <c r="IR37" s="595"/>
      <c r="IS37" s="595"/>
      <c r="IT37" s="595"/>
      <c r="IU37" s="595"/>
      <c r="IV37" s="595"/>
      <c r="IW37" s="595"/>
      <c r="IX37" s="595"/>
      <c r="IY37" s="595"/>
      <c r="IZ37" s="595"/>
      <c r="JA37" s="595"/>
      <c r="JB37" s="595"/>
      <c r="JC37" s="595"/>
      <c r="JD37" s="595"/>
      <c r="JE37" s="595"/>
      <c r="JF37" s="595"/>
      <c r="JG37" s="595"/>
      <c r="JH37" s="595"/>
      <c r="JI37" s="595"/>
      <c r="JJ37" s="595"/>
      <c r="JK37" s="595"/>
      <c r="JL37" s="595"/>
      <c r="JM37" s="595"/>
      <c r="JN37" s="595"/>
      <c r="JO37" s="595"/>
      <c r="JP37" s="595"/>
      <c r="JQ37" s="595"/>
      <c r="JR37" s="595"/>
      <c r="JS37" s="595"/>
      <c r="JT37" s="595"/>
      <c r="JU37" s="595"/>
      <c r="JV37" s="595"/>
      <c r="JW37" s="595"/>
      <c r="JX37" s="595"/>
      <c r="JY37" s="595"/>
      <c r="JZ37" s="595"/>
      <c r="KA37" s="595"/>
      <c r="KB37" s="595"/>
      <c r="KC37" s="595"/>
      <c r="KD37" s="595"/>
      <c r="KE37" s="595"/>
      <c r="KF37" s="595"/>
      <c r="KG37" s="595"/>
      <c r="KH37" s="595"/>
      <c r="KI37" s="595"/>
      <c r="KJ37" s="595"/>
      <c r="KK37" s="595"/>
      <c r="KL37" s="595"/>
      <c r="KM37" s="595"/>
      <c r="KN37" s="595"/>
      <c r="KO37" s="595"/>
      <c r="KP37" s="595"/>
      <c r="KQ37" s="595"/>
      <c r="KR37" s="595"/>
      <c r="KS37" s="595"/>
      <c r="KT37" s="595"/>
      <c r="KU37" s="595"/>
      <c r="KV37" s="595"/>
      <c r="KW37" s="595"/>
      <c r="KX37" s="595"/>
      <c r="KY37" s="595"/>
      <c r="KZ37" s="595"/>
      <c r="LA37" s="595"/>
      <c r="LB37" s="595"/>
      <c r="LC37" s="595"/>
      <c r="LD37" s="595"/>
      <c r="LE37" s="595"/>
      <c r="LF37" s="595"/>
      <c r="LG37" s="595"/>
      <c r="LH37" s="595"/>
      <c r="LI37" s="595"/>
      <c r="LJ37" s="595"/>
      <c r="LK37" s="595"/>
      <c r="LL37" s="595"/>
      <c r="LM37" s="595"/>
      <c r="LN37" s="595"/>
      <c r="LO37" s="595"/>
      <c r="LP37" s="595"/>
      <c r="LQ37" s="595"/>
      <c r="LR37" s="595"/>
      <c r="LS37" s="595"/>
      <c r="LT37" s="595"/>
      <c r="LU37" s="595"/>
      <c r="LV37" s="595"/>
      <c r="MC37" s="252" t="s">
        <v>512</v>
      </c>
      <c r="MD37" s="371"/>
      <c r="ME37" s="372"/>
      <c r="MF37" s="372"/>
      <c r="MG37" s="372"/>
      <c r="MH37" s="372"/>
      <c r="MI37" s="372"/>
      <c r="MJ37" s="372"/>
      <c r="MK37" s="372"/>
      <c r="ML37" s="372"/>
      <c r="MM37" s="372"/>
      <c r="MN37" s="372"/>
      <c r="MO37" s="372"/>
      <c r="MP37" s="372"/>
      <c r="MQ37" s="372"/>
      <c r="MR37" s="372"/>
      <c r="MS37" s="372"/>
      <c r="MT37" s="373"/>
      <c r="NA37" s="424">
        <f t="shared" si="100"/>
        <v>5</v>
      </c>
      <c r="NB37" s="424">
        <f t="shared" si="101"/>
        <v>1</v>
      </c>
      <c r="NC37" s="207">
        <f t="shared" si="102"/>
        <v>7.2136640000000002E-2</v>
      </c>
      <c r="ND37" s="208">
        <f t="shared" si="103"/>
        <v>3.6229567249042924</v>
      </c>
      <c r="NE37" s="209">
        <f t="shared" si="15"/>
        <v>5.2110685797718867E-2</v>
      </c>
      <c r="NF37" s="208">
        <f t="shared" si="16"/>
        <v>7.3937301210591455</v>
      </c>
      <c r="NG37" s="210"/>
      <c r="NH37" s="211">
        <f t="shared" si="104"/>
        <v>79715388</v>
      </c>
      <c r="NI37" s="208">
        <f t="shared" si="17"/>
        <v>261347925</v>
      </c>
      <c r="NJ37" s="212">
        <f t="shared" si="105"/>
        <v>0.47043037662941561</v>
      </c>
      <c r="NK37" s="213">
        <f t="shared" si="106"/>
        <v>0.99986100903613451</v>
      </c>
      <c r="NL37" s="214">
        <f t="shared" si="18"/>
        <v>0.92243488068315482</v>
      </c>
      <c r="NM37" s="208">
        <f t="shared" si="107"/>
        <v>0.5100462335161301</v>
      </c>
      <c r="NN37" s="208">
        <f t="shared" si="19"/>
        <v>1.1050610064455455</v>
      </c>
      <c r="NO37" s="215">
        <f t="shared" si="20"/>
        <v>4.1277588260813842E-4</v>
      </c>
      <c r="NP37" s="216" t="str">
        <f t="shared" si="108"/>
        <v/>
      </c>
      <c r="NQ37" s="215" t="str">
        <f t="shared" si="109"/>
        <v/>
      </c>
      <c r="NR37" s="215" t="str">
        <f t="shared" si="110"/>
        <v/>
      </c>
      <c r="NS37" s="215" t="str">
        <f t="shared" si="21"/>
        <v/>
      </c>
      <c r="NT37" s="215" t="str">
        <f t="shared" si="22"/>
        <v/>
      </c>
      <c r="NU37" s="215">
        <f t="shared" si="23"/>
        <v>2.789122782798938E-2</v>
      </c>
      <c r="NV37" s="215" t="str">
        <f t="shared" si="111"/>
        <v/>
      </c>
      <c r="NW37" s="215" t="str">
        <f t="shared" si="24"/>
        <v/>
      </c>
      <c r="NX37" s="215">
        <f t="shared" si="25"/>
        <v>1.7041521041688892E-2</v>
      </c>
      <c r="NY37" s="215" t="str">
        <f t="shared" si="26"/>
        <v/>
      </c>
      <c r="NZ37" s="215">
        <f t="shared" si="27"/>
        <v>1.4307793761659544E-3</v>
      </c>
      <c r="OA37" s="215">
        <f t="shared" si="28"/>
        <v>0</v>
      </c>
      <c r="OB37" s="215">
        <f t="shared" si="29"/>
        <v>1.1449728500132936E-2</v>
      </c>
      <c r="OC37" s="215">
        <f t="shared" si="30"/>
        <v>1.1474591366279494E-3</v>
      </c>
      <c r="OD37" s="215">
        <f t="shared" si="31"/>
        <v>3.4452509777666606E-3</v>
      </c>
      <c r="OE37" s="215" t="str">
        <f t="shared" si="32"/>
        <v/>
      </c>
      <c r="OF37" s="215" t="str">
        <f t="shared" si="33"/>
        <v/>
      </c>
      <c r="OG37" s="215" t="str">
        <f t="shared" si="34"/>
        <v/>
      </c>
      <c r="OH37" s="215">
        <f t="shared" si="35"/>
        <v>9.3178972570200878E-3</v>
      </c>
      <c r="OI37" s="215">
        <f t="shared" si="112"/>
        <v>7.2136640000000002E-2</v>
      </c>
      <c r="OJ37" s="218">
        <f t="shared" si="113"/>
        <v>0.10075819677793672</v>
      </c>
      <c r="OK37" s="218">
        <f t="shared" si="114"/>
        <v>9.3932023142857188E-2</v>
      </c>
      <c r="OL37" s="218" t="str">
        <f t="shared" si="115"/>
        <v/>
      </c>
      <c r="OM37" s="218" t="str">
        <f t="shared" si="116"/>
        <v/>
      </c>
      <c r="ON37" s="217">
        <f t="shared" si="36"/>
        <v>0.33452386652704746</v>
      </c>
      <c r="OO37" s="210"/>
      <c r="OP37" s="210"/>
      <c r="OQ37" s="218" t="str">
        <f t="shared" si="117"/>
        <v/>
      </c>
      <c r="OR37" s="218" t="str">
        <f t="shared" si="118"/>
        <v/>
      </c>
      <c r="OS37" s="218">
        <f t="shared" si="37"/>
        <v>0.86720022182537271</v>
      </c>
      <c r="OT37" s="218">
        <f t="shared" si="38"/>
        <v>0.98168352070968246</v>
      </c>
      <c r="OU37" s="209" t="str">
        <f t="shared" si="39"/>
        <v/>
      </c>
      <c r="OV37" s="209" t="str">
        <f t="shared" si="40"/>
        <v/>
      </c>
      <c r="OW37" s="209">
        <f t="shared" si="119"/>
        <v>6.1336083485457639E-3</v>
      </c>
      <c r="OX37" s="219" t="str">
        <f t="shared" si="41"/>
        <v/>
      </c>
      <c r="OY37" s="208">
        <f t="shared" si="120"/>
        <v>14675256</v>
      </c>
      <c r="OZ37" s="208">
        <f t="shared" si="42"/>
        <v>2252290</v>
      </c>
      <c r="PA37" s="209">
        <f t="shared" si="121"/>
        <v>0.15347534652887826</v>
      </c>
      <c r="PB37" s="209">
        <f>IF(OR($CQ37="",$OZ37=""),"",IF($OZ37=0,0,
GuardLimitUpper(
  ($OZ37-$CQ37)/$OZ37,
  data_GuardLimitFlag,
  1)
))</f>
        <v>0.31664528102509004</v>
      </c>
      <c r="PC37" s="209" t="str">
        <f t="shared" si="43"/>
        <v/>
      </c>
      <c r="PD37" s="209" t="str">
        <f t="shared" si="44"/>
        <v/>
      </c>
      <c r="PE37" s="208">
        <f t="shared" si="122"/>
        <v>1528468</v>
      </c>
      <c r="PF37" s="209">
        <f t="shared" si="123"/>
        <v>0.10415273164570349</v>
      </c>
      <c r="PG37" s="209">
        <f t="shared" si="45"/>
        <v>7.5590722213353501E-2</v>
      </c>
      <c r="PH37" s="209" t="str">
        <f t="shared" si="46"/>
        <v/>
      </c>
      <c r="PI37" s="209" t="str">
        <f t="shared" si="47"/>
        <v/>
      </c>
      <c r="PJ37" s="220" t="str">
        <f t="shared" si="48"/>
        <v/>
      </c>
      <c r="PK37" s="220" t="str">
        <f t="shared" si="49"/>
        <v/>
      </c>
      <c r="PL37" s="221">
        <f t="shared" si="124"/>
        <v>6689110</v>
      </c>
      <c r="PM37" s="221" t="str">
        <f t="shared" si="50"/>
        <v/>
      </c>
      <c r="PN37" s="221">
        <f t="shared" si="125"/>
        <v>0</v>
      </c>
      <c r="PO37" s="221" t="str">
        <f t="shared" si="51"/>
        <v/>
      </c>
      <c r="PP37" s="221" t="str">
        <f t="shared" si="52"/>
        <v/>
      </c>
      <c r="PQ37" s="529" t="str">
        <f t="shared" si="126"/>
        <v/>
      </c>
      <c r="PR37" s="221" t="str">
        <f t="shared" si="53"/>
        <v/>
      </c>
      <c r="PS37" s="221">
        <f t="shared" si="54"/>
        <v>5598906</v>
      </c>
      <c r="PT37" s="221">
        <f t="shared" si="127"/>
        <v>1886473</v>
      </c>
      <c r="PU37" s="221" t="str">
        <f t="shared" si="55"/>
        <v/>
      </c>
      <c r="PV37" s="221">
        <f t="shared" si="128"/>
        <v>0</v>
      </c>
      <c r="PW37" s="221" t="str">
        <f t="shared" si="56"/>
        <v/>
      </c>
      <c r="PX37" s="221" t="str">
        <f t="shared" si="162"/>
        <v/>
      </c>
      <c r="PY37" s="221">
        <f t="shared" si="57"/>
        <v>500767</v>
      </c>
      <c r="PZ37" s="221" t="str">
        <f t="shared" si="58"/>
        <v/>
      </c>
      <c r="QA37" s="221" t="str">
        <f t="shared" si="59"/>
        <v/>
      </c>
      <c r="QB37" s="221" t="str">
        <f t="shared" si="60"/>
        <v/>
      </c>
      <c r="QC37" s="221" t="str">
        <f t="shared" si="61"/>
        <v/>
      </c>
      <c r="QD37" s="221">
        <f t="shared" si="129"/>
        <v>14530691</v>
      </c>
      <c r="QE37" s="221">
        <f t="shared" si="130"/>
        <v>9704856</v>
      </c>
      <c r="QF37" s="221">
        <f t="shared" si="131"/>
        <v>771402</v>
      </c>
      <c r="QG37" s="222" t="str">
        <f t="shared" si="62"/>
        <v/>
      </c>
      <c r="QH37" s="222" t="str">
        <f t="shared" si="63"/>
        <v/>
      </c>
      <c r="QI37" s="222" t="str">
        <f t="shared" si="64"/>
        <v/>
      </c>
      <c r="QJ37" s="222" t="str">
        <f t="shared" si="65"/>
        <v/>
      </c>
      <c r="QK37" s="222" t="str">
        <f t="shared" si="66"/>
        <v/>
      </c>
      <c r="QL37" s="222" t="str">
        <f t="shared" si="132"/>
        <v/>
      </c>
      <c r="QM37" s="222">
        <f>IF(OR($O$8="Lv2",$O$8="Lv3",$O$8="Lv4"),IF(OR($AS37="",COUNT($PL37:$QL37)=0),"",
GuardLimitLower(
  $AS37-SUM($PL37:$QL37),
  data_GuardLimitFlag,
  0)
),"")</f>
        <v>40033183</v>
      </c>
      <c r="QN37" s="222">
        <f t="shared" si="133"/>
        <v>79715388</v>
      </c>
      <c r="QO37" s="222" t="str">
        <f t="shared" si="134"/>
        <v/>
      </c>
      <c r="QP37" s="222" t="str">
        <f t="shared" si="135"/>
        <v/>
      </c>
      <c r="QQ37" s="222" t="str">
        <f t="shared" si="136"/>
        <v/>
      </c>
      <c r="QR37" s="222">
        <f t="shared" si="67"/>
        <v>3.341941654257325</v>
      </c>
      <c r="QS37" s="209" t="str">
        <f t="shared" si="68"/>
        <v/>
      </c>
      <c r="QT37" s="209" t="str">
        <f t="shared" si="69"/>
        <v/>
      </c>
      <c r="QU37" s="209" t="str">
        <f t="shared" si="70"/>
        <v/>
      </c>
      <c r="QV37" s="208" t="str">
        <f t="shared" si="71"/>
        <v/>
      </c>
      <c r="QW37" s="208" t="str">
        <f t="shared" si="72"/>
        <v/>
      </c>
      <c r="QX37" s="208" t="str">
        <f t="shared" si="73"/>
        <v/>
      </c>
      <c r="QY37" s="208" t="str">
        <f t="shared" si="74"/>
        <v/>
      </c>
      <c r="QZ37" s="208" t="str">
        <f t="shared" si="75"/>
        <v/>
      </c>
      <c r="RA37" s="209" t="str">
        <f t="shared" si="137"/>
        <v/>
      </c>
      <c r="RB37" s="209" t="str">
        <f t="shared" si="76"/>
        <v/>
      </c>
      <c r="RC37" s="209" t="str">
        <f t="shared" si="77"/>
        <v/>
      </c>
      <c r="RD37" s="209" t="str">
        <f t="shared" si="78"/>
        <v/>
      </c>
      <c r="RE37" s="209" t="str">
        <f t="shared" si="79"/>
        <v/>
      </c>
      <c r="RF37" s="209" t="str">
        <f t="shared" si="80"/>
        <v/>
      </c>
      <c r="RG37" s="209" t="str">
        <f t="shared" si="81"/>
        <v/>
      </c>
      <c r="RH37" s="209" t="str">
        <f t="shared" si="82"/>
        <v/>
      </c>
      <c r="RI37" s="209" t="str">
        <f t="shared" si="83"/>
        <v/>
      </c>
      <c r="RJ37" s="134"/>
      <c r="RK37" s="134"/>
      <c r="RL37" s="134"/>
      <c r="RM37" s="134"/>
      <c r="RN37" s="134"/>
      <c r="RO37" s="134"/>
      <c r="RP37" s="134"/>
      <c r="RQ37" s="134"/>
      <c r="RR37" s="222" t="str">
        <f t="shared" si="84"/>
        <v/>
      </c>
      <c r="RS37" s="224"/>
      <c r="RT37" s="224"/>
      <c r="RU37" s="208">
        <f t="shared" si="138"/>
        <v>7.2136640000000002E-2</v>
      </c>
      <c r="RV37" s="208">
        <f t="shared" si="139"/>
        <v>1</v>
      </c>
      <c r="RW37" s="208">
        <f t="shared" si="140"/>
        <v>1.014802318712702</v>
      </c>
      <c r="RX37" s="208">
        <f t="shared" si="141"/>
        <v>1.01648736659731</v>
      </c>
      <c r="RY37" s="208">
        <f t="shared" si="142"/>
        <v>0.98940734176611644</v>
      </c>
      <c r="RZ37" s="208">
        <f t="shared" si="85"/>
        <v>1.0153167709205948</v>
      </c>
      <c r="SA37" s="208" t="str">
        <f t="shared" si="86"/>
        <v/>
      </c>
      <c r="SB37" s="208" t="str">
        <f t="shared" si="87"/>
        <v/>
      </c>
      <c r="SC37" s="208" t="str">
        <f t="shared" si="88"/>
        <v/>
      </c>
      <c r="SD37" s="208" t="str">
        <f t="shared" si="89"/>
        <v/>
      </c>
      <c r="SE37" s="208" t="str">
        <f t="shared" si="90"/>
        <v/>
      </c>
      <c r="SF37" s="208" t="str">
        <f t="shared" si="91"/>
        <v/>
      </c>
      <c r="SG37" s="208" t="str">
        <f t="shared" si="92"/>
        <v/>
      </c>
      <c r="SH37" s="208" t="str">
        <f t="shared" si="93"/>
        <v/>
      </c>
      <c r="SI37" s="208" t="str">
        <f t="shared" si="94"/>
        <v/>
      </c>
      <c r="SJ37" s="208" t="str">
        <f t="shared" si="95"/>
        <v/>
      </c>
      <c r="SK37" s="208" t="str">
        <f t="shared" si="96"/>
        <v/>
      </c>
      <c r="SL37" s="208" t="str">
        <f t="shared" si="97"/>
        <v/>
      </c>
      <c r="SM37" s="222">
        <f t="shared" si="143"/>
        <v>3</v>
      </c>
      <c r="SN37" s="225">
        <f t="shared" si="98"/>
        <v>2.4045546666666667E-2</v>
      </c>
      <c r="SO37" s="209">
        <f t="shared" si="144"/>
        <v>0.969106997846508</v>
      </c>
      <c r="SP37" s="209">
        <f t="shared" si="145"/>
        <v>0.993245712828974</v>
      </c>
      <c r="SQ37" s="222">
        <f t="shared" si="146"/>
        <v>156290514</v>
      </c>
      <c r="SR37" s="222">
        <f t="shared" si="147"/>
        <v>158603976</v>
      </c>
      <c r="SS37" s="222">
        <f t="shared" si="148"/>
        <v>158867333</v>
      </c>
      <c r="ST37" s="222">
        <f t="shared" si="149"/>
        <v>154634982</v>
      </c>
      <c r="SU37" s="222">
        <f t="shared" si="150"/>
        <v>158684380</v>
      </c>
      <c r="SV37" s="222" t="str">
        <f t="shared" si="151"/>
        <v/>
      </c>
      <c r="SW37" s="222" t="str">
        <f t="shared" si="152"/>
        <v/>
      </c>
      <c r="SX37" s="222" t="str">
        <f t="shared" si="153"/>
        <v/>
      </c>
      <c r="SY37" s="222" t="str">
        <f t="shared" si="154"/>
        <v/>
      </c>
      <c r="SZ37" s="222" t="str">
        <f t="shared" si="155"/>
        <v/>
      </c>
      <c r="TA37" s="222" t="str">
        <f t="shared" si="156"/>
        <v/>
      </c>
      <c r="TB37" s="222" t="str">
        <f t="shared" si="157"/>
        <v/>
      </c>
      <c r="TC37" s="222" t="str">
        <f t="shared" si="99"/>
        <v/>
      </c>
      <c r="TD37" s="222" t="str">
        <f t="shared" si="158"/>
        <v/>
      </c>
      <c r="TE37" s="222" t="str">
        <f t="shared" si="159"/>
        <v/>
      </c>
      <c r="TF37" s="222" t="str">
        <f t="shared" si="160"/>
        <v/>
      </c>
      <c r="TG37" s="222" t="str">
        <f t="shared" si="161"/>
        <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5</v>
      </c>
      <c r="AG38" s="430">
        <v>2</v>
      </c>
      <c r="AH38" s="430" t="s">
        <v>1975</v>
      </c>
      <c r="AI38" s="430">
        <v>1</v>
      </c>
      <c r="AJ38" s="430">
        <v>3</v>
      </c>
      <c r="AK38" s="594">
        <v>7215328</v>
      </c>
      <c r="AL38" s="594">
        <v>156768766</v>
      </c>
      <c r="AM38" s="430">
        <v>65327900</v>
      </c>
      <c r="AN38" s="430">
        <v>36325</v>
      </c>
      <c r="AO38" s="430">
        <v>1564534</v>
      </c>
      <c r="AP38" s="430">
        <v>589116</v>
      </c>
      <c r="AQ38" s="595">
        <v>13742</v>
      </c>
      <c r="AR38" s="595">
        <v>16379</v>
      </c>
      <c r="AS38" s="594">
        <v>79495810</v>
      </c>
      <c r="AT38" s="594">
        <v>37500540</v>
      </c>
      <c r="AU38" s="430" t="s">
        <v>1974</v>
      </c>
      <c r="AV38" s="430" t="s">
        <v>1964</v>
      </c>
      <c r="AW38" s="430">
        <v>0</v>
      </c>
      <c r="AX38" s="430">
        <v>9</v>
      </c>
      <c r="AY38" s="430">
        <v>2</v>
      </c>
      <c r="AZ38" s="430" t="s">
        <v>1975</v>
      </c>
      <c r="BA38" s="430">
        <v>1</v>
      </c>
      <c r="BB38" s="430">
        <v>3</v>
      </c>
      <c r="BC38" s="430">
        <v>7243904</v>
      </c>
      <c r="BD38" s="430">
        <v>158191741</v>
      </c>
      <c r="BE38" s="430">
        <v>130362415</v>
      </c>
      <c r="BF38" s="595">
        <v>7465191</v>
      </c>
      <c r="BG38" s="430">
        <v>62625785</v>
      </c>
      <c r="BH38" s="595">
        <v>1048888</v>
      </c>
      <c r="BI38" s="430">
        <v>37468706</v>
      </c>
      <c r="BJ38" s="430">
        <v>27330380</v>
      </c>
      <c r="BK38" s="430">
        <v>0</v>
      </c>
      <c r="BL38" s="430">
        <v>2275519</v>
      </c>
      <c r="BM38" s="430" t="s">
        <v>1974</v>
      </c>
      <c r="BN38" s="430" t="s">
        <v>1964</v>
      </c>
      <c r="BO38" s="430">
        <v>0</v>
      </c>
      <c r="BP38" s="430">
        <v>9</v>
      </c>
      <c r="BQ38" s="430">
        <v>2</v>
      </c>
      <c r="BR38" s="430" t="s">
        <v>1975</v>
      </c>
      <c r="BS38" s="430">
        <v>1</v>
      </c>
      <c r="BT38" s="430">
        <v>3</v>
      </c>
      <c r="BU38" s="430">
        <v>7248736</v>
      </c>
      <c r="BV38" s="430">
        <v>158838938</v>
      </c>
      <c r="BW38" s="594">
        <v>54801214</v>
      </c>
      <c r="BX38" s="594">
        <v>50855578</v>
      </c>
      <c r="BY38" s="430">
        <v>120201764</v>
      </c>
      <c r="BZ38" s="430">
        <v>943325</v>
      </c>
      <c r="CA38" s="430">
        <v>16001134</v>
      </c>
      <c r="CB38" s="430">
        <v>222011424</v>
      </c>
      <c r="CC38" s="430">
        <v>14918283</v>
      </c>
      <c r="CD38" s="430">
        <v>234332592</v>
      </c>
      <c r="CE38" s="430" t="s">
        <v>1974</v>
      </c>
      <c r="CF38" s="430" t="s">
        <v>1964</v>
      </c>
      <c r="CG38" s="430">
        <v>0</v>
      </c>
      <c r="CH38" s="430">
        <v>9</v>
      </c>
      <c r="CI38" s="430">
        <v>2</v>
      </c>
      <c r="CJ38" s="430" t="s">
        <v>1975</v>
      </c>
      <c r="CK38" s="430">
        <v>1</v>
      </c>
      <c r="CL38" s="430">
        <v>3</v>
      </c>
      <c r="CM38" s="430">
        <v>7034368</v>
      </c>
      <c r="CN38" s="430">
        <v>154308586</v>
      </c>
      <c r="CO38" s="430">
        <v>13375</v>
      </c>
      <c r="CP38" s="430">
        <v>2260667</v>
      </c>
      <c r="CQ38" s="430">
        <v>1538675</v>
      </c>
      <c r="CR38" s="430">
        <v>1572348</v>
      </c>
      <c r="CS38" s="430">
        <v>123975</v>
      </c>
      <c r="CT38" s="430">
        <v>0</v>
      </c>
      <c r="CU38" s="430">
        <v>0</v>
      </c>
      <c r="CV38" s="430">
        <v>17354</v>
      </c>
      <c r="CW38" s="430" t="s">
        <v>1974</v>
      </c>
      <c r="CX38" s="430" t="s">
        <v>1964</v>
      </c>
      <c r="CY38" s="430">
        <v>0</v>
      </c>
      <c r="CZ38" s="430">
        <v>9</v>
      </c>
      <c r="DA38" s="430">
        <v>2</v>
      </c>
      <c r="DB38" s="430" t="s">
        <v>1975</v>
      </c>
      <c r="DC38" s="430">
        <v>1</v>
      </c>
      <c r="DD38" s="430">
        <v>3</v>
      </c>
      <c r="DE38" s="430">
        <v>7311648</v>
      </c>
      <c r="DF38" s="430">
        <v>159400532</v>
      </c>
      <c r="DG38" s="430">
        <v>25006949</v>
      </c>
      <c r="DH38" s="430">
        <v>9704856</v>
      </c>
      <c r="DI38" s="430">
        <v>771402</v>
      </c>
      <c r="DJ38" s="430">
        <v>12222080</v>
      </c>
      <c r="DK38" s="430">
        <v>2381527</v>
      </c>
      <c r="DL38" s="430">
        <v>6689110</v>
      </c>
      <c r="DM38" s="430">
        <v>1886473</v>
      </c>
      <c r="DN38" s="430">
        <v>9740698</v>
      </c>
      <c r="DO38" s="595"/>
      <c r="DP38" s="595"/>
      <c r="DQ38" s="595"/>
      <c r="DR38" s="595"/>
      <c r="DS38" s="595"/>
      <c r="DT38" s="595"/>
      <c r="DU38" s="595"/>
      <c r="DV38" s="595"/>
      <c r="DW38" s="595"/>
      <c r="DX38" s="595"/>
      <c r="DY38" s="595"/>
      <c r="DZ38" s="595"/>
      <c r="EA38" s="595"/>
      <c r="EB38" s="430"/>
      <c r="EC38" s="595"/>
      <c r="ED38" s="595"/>
      <c r="EE38" s="595"/>
      <c r="EF38" s="595"/>
      <c r="EG38" s="595"/>
      <c r="EH38" s="595"/>
      <c r="EI38" s="595"/>
      <c r="EJ38" s="595"/>
      <c r="EK38" s="595"/>
      <c r="EL38" s="595"/>
      <c r="EM38" s="595"/>
      <c r="EN38" s="595"/>
      <c r="EO38" s="595"/>
      <c r="EP38" s="595"/>
      <c r="EQ38" s="595"/>
      <c r="ER38" s="595"/>
      <c r="ES38" s="430"/>
      <c r="ET38" s="595"/>
      <c r="EU38" s="595"/>
      <c r="EV38" s="595"/>
      <c r="EW38" s="595"/>
      <c r="EX38" s="595"/>
      <c r="EY38" s="595"/>
      <c r="EZ38" s="595"/>
      <c r="FA38" s="595"/>
      <c r="FB38" s="595"/>
      <c r="FC38" s="595"/>
      <c r="FD38" s="595"/>
      <c r="FE38" s="595"/>
      <c r="FF38" s="595"/>
      <c r="FG38" s="595"/>
      <c r="FH38" s="595"/>
      <c r="FI38" s="595"/>
      <c r="FJ38" s="595"/>
      <c r="FK38" s="595"/>
      <c r="FL38" s="595"/>
      <c r="FM38" s="595"/>
      <c r="FN38" s="595"/>
      <c r="FO38" s="430"/>
      <c r="FP38" s="430"/>
      <c r="FQ38" s="595"/>
      <c r="FR38" s="595"/>
      <c r="FS38" s="595"/>
      <c r="FT38" s="595"/>
      <c r="FU38" s="595"/>
      <c r="FV38" s="595"/>
      <c r="FW38" s="595"/>
      <c r="FX38" s="595"/>
      <c r="FY38" s="595"/>
      <c r="FZ38" s="595"/>
      <c r="GA38" s="595"/>
      <c r="GB38" s="595"/>
      <c r="GC38" s="595"/>
      <c r="GD38" s="595"/>
      <c r="GE38" s="595"/>
      <c r="GF38" s="595"/>
      <c r="GG38" s="595"/>
      <c r="GH38" s="595"/>
      <c r="GI38" s="595"/>
      <c r="GJ38" s="595"/>
      <c r="GK38" s="595"/>
      <c r="GL38" s="595"/>
      <c r="GM38" s="595"/>
      <c r="GN38" s="595"/>
      <c r="GO38" s="595"/>
      <c r="GP38" s="595"/>
      <c r="GQ38" s="595"/>
      <c r="GR38" s="595"/>
      <c r="GS38" s="595"/>
      <c r="GT38" s="595"/>
      <c r="GU38" s="595"/>
      <c r="GV38" s="595"/>
      <c r="GW38" s="595"/>
      <c r="GX38" s="595"/>
      <c r="GY38" s="595"/>
      <c r="GZ38" s="595"/>
      <c r="HA38" s="595"/>
      <c r="HB38" s="595"/>
      <c r="HC38" s="595"/>
      <c r="HD38" s="595"/>
      <c r="HE38" s="595"/>
      <c r="HF38" s="595"/>
      <c r="HG38" s="595"/>
      <c r="HH38" s="595"/>
      <c r="HI38" s="595"/>
      <c r="HJ38" s="595"/>
      <c r="HK38" s="595"/>
      <c r="HL38" s="595"/>
      <c r="HM38" s="595"/>
      <c r="HN38" s="595"/>
      <c r="HO38" s="595"/>
      <c r="HP38" s="595"/>
      <c r="HQ38" s="595"/>
      <c r="HR38" s="595"/>
      <c r="HS38" s="595"/>
      <c r="HT38" s="595"/>
      <c r="HU38" s="595"/>
      <c r="HV38" s="595"/>
      <c r="HW38" s="595"/>
      <c r="HX38" s="595"/>
      <c r="HY38" s="595"/>
      <c r="HZ38" s="595"/>
      <c r="IA38" s="595"/>
      <c r="IB38" s="595"/>
      <c r="IC38" s="595"/>
      <c r="ID38" s="595"/>
      <c r="IE38" s="595"/>
      <c r="IF38" s="595"/>
      <c r="IG38" s="595"/>
      <c r="IH38" s="595"/>
      <c r="II38" s="595"/>
      <c r="IJ38" s="595"/>
      <c r="IK38" s="595"/>
      <c r="IL38" s="595"/>
      <c r="IM38" s="595"/>
      <c r="IN38" s="595"/>
      <c r="IO38" s="595"/>
      <c r="IP38" s="595"/>
      <c r="IQ38" s="595"/>
      <c r="IR38" s="595"/>
      <c r="IS38" s="595"/>
      <c r="IT38" s="595"/>
      <c r="IU38" s="595"/>
      <c r="IV38" s="595"/>
      <c r="IW38" s="595"/>
      <c r="IX38" s="595"/>
      <c r="IY38" s="595"/>
      <c r="IZ38" s="595"/>
      <c r="JA38" s="595"/>
      <c r="JB38" s="595"/>
      <c r="JC38" s="595"/>
      <c r="JD38" s="595"/>
      <c r="JE38" s="595"/>
      <c r="JF38" s="595"/>
      <c r="JG38" s="595"/>
      <c r="JH38" s="595"/>
      <c r="JI38" s="595"/>
      <c r="JJ38" s="595"/>
      <c r="JK38" s="595"/>
      <c r="JL38" s="595"/>
      <c r="JM38" s="595"/>
      <c r="JN38" s="595"/>
      <c r="JO38" s="595"/>
      <c r="JP38" s="595"/>
      <c r="JQ38" s="595"/>
      <c r="JR38" s="595"/>
      <c r="JS38" s="595"/>
      <c r="JT38" s="595"/>
      <c r="JU38" s="595"/>
      <c r="JV38" s="595"/>
      <c r="JW38" s="595"/>
      <c r="JX38" s="595"/>
      <c r="JY38" s="595"/>
      <c r="JZ38" s="595"/>
      <c r="KA38" s="595"/>
      <c r="KB38" s="595"/>
      <c r="KC38" s="595"/>
      <c r="KD38" s="595"/>
      <c r="KE38" s="595"/>
      <c r="KF38" s="595"/>
      <c r="KG38" s="595"/>
      <c r="KH38" s="595"/>
      <c r="KI38" s="595"/>
      <c r="KJ38" s="595"/>
      <c r="KK38" s="595"/>
      <c r="KL38" s="595"/>
      <c r="KM38" s="595"/>
      <c r="KN38" s="595"/>
      <c r="KO38" s="595"/>
      <c r="KP38" s="595"/>
      <c r="KQ38" s="595"/>
      <c r="KR38" s="595"/>
      <c r="KS38" s="595"/>
      <c r="KT38" s="595"/>
      <c r="KU38" s="595"/>
      <c r="KV38" s="595"/>
      <c r="KW38" s="595"/>
      <c r="KX38" s="595"/>
      <c r="KY38" s="595"/>
      <c r="KZ38" s="595"/>
      <c r="LA38" s="595"/>
      <c r="LB38" s="595"/>
      <c r="LC38" s="595"/>
      <c r="LD38" s="595"/>
      <c r="LE38" s="595"/>
      <c r="LF38" s="595"/>
      <c r="LG38" s="595"/>
      <c r="LH38" s="595"/>
      <c r="LI38" s="595"/>
      <c r="LJ38" s="595"/>
      <c r="LK38" s="595"/>
      <c r="LL38" s="595"/>
      <c r="LM38" s="595"/>
      <c r="LN38" s="595"/>
      <c r="LO38" s="595"/>
      <c r="LP38" s="595"/>
      <c r="LQ38" s="595"/>
      <c r="LR38" s="595"/>
      <c r="LS38" s="595"/>
      <c r="LT38" s="595"/>
      <c r="LU38" s="595"/>
      <c r="LV38" s="595"/>
      <c r="MC38" s="252" t="s">
        <v>1184</v>
      </c>
      <c r="MD38" s="371"/>
      <c r="ME38" s="372"/>
      <c r="MF38" s="372"/>
      <c r="MG38" s="372"/>
      <c r="MH38" s="372"/>
      <c r="MI38" s="372"/>
      <c r="MJ38" s="372"/>
      <c r="MK38" s="372"/>
      <c r="ML38" s="372"/>
      <c r="MM38" s="372"/>
      <c r="MN38" s="372"/>
      <c r="MO38" s="372"/>
      <c r="MP38" s="372"/>
      <c r="MQ38" s="372"/>
      <c r="MR38" s="372"/>
      <c r="MS38" s="372"/>
      <c r="MT38" s="373"/>
      <c r="NA38" s="424">
        <f t="shared" si="100"/>
        <v>5</v>
      </c>
      <c r="NB38" s="424">
        <f t="shared" si="101"/>
        <v>2</v>
      </c>
      <c r="NC38" s="207">
        <f t="shared" si="102"/>
        <v>7.215328E-2</v>
      </c>
      <c r="ND38" s="208">
        <f t="shared" si="103"/>
        <v>3.6221211980938355</v>
      </c>
      <c r="NE38" s="209">
        <f t="shared" si="15"/>
        <v>5.2098668023728908E-2</v>
      </c>
      <c r="NF38" s="208">
        <f t="shared" si="16"/>
        <v>7.5342856762714039</v>
      </c>
      <c r="NG38" s="210"/>
      <c r="NH38" s="211">
        <f t="shared" si="104"/>
        <v>79495810</v>
      </c>
      <c r="NI38" s="208">
        <f t="shared" si="17"/>
        <v>261347925</v>
      </c>
      <c r="NJ38" s="212">
        <f t="shared" si="105"/>
        <v>0.47172976789594318</v>
      </c>
      <c r="NK38" s="213">
        <f t="shared" si="106"/>
        <v>0.99986100903613451</v>
      </c>
      <c r="NL38" s="214">
        <f t="shared" si="18"/>
        <v>0.92244627380910837</v>
      </c>
      <c r="NM38" s="208">
        <f t="shared" si="107"/>
        <v>0.50708959461988745</v>
      </c>
      <c r="NN38" s="208">
        <f t="shared" si="19"/>
        <v>1.1017629413382177</v>
      </c>
      <c r="NO38" s="215">
        <f t="shared" si="20"/>
        <v>4.7841125632873589E-4</v>
      </c>
      <c r="NP38" s="216" t="str">
        <f t="shared" si="108"/>
        <v/>
      </c>
      <c r="NQ38" s="215" t="str">
        <f t="shared" si="109"/>
        <v/>
      </c>
      <c r="NR38" s="215" t="str">
        <f t="shared" si="110"/>
        <v/>
      </c>
      <c r="NS38" s="215" t="str">
        <f t="shared" si="21"/>
        <v/>
      </c>
      <c r="NT38" s="215" t="str">
        <f t="shared" si="22"/>
        <v/>
      </c>
      <c r="NU38" s="215">
        <f t="shared" si="23"/>
        <v>2.8086011713924813E-2</v>
      </c>
      <c r="NV38" s="215" t="str">
        <f t="shared" si="111"/>
        <v/>
      </c>
      <c r="NW38" s="215" t="str">
        <f t="shared" si="24"/>
        <v/>
      </c>
      <c r="NX38" s="215">
        <f t="shared" si="25"/>
        <v>1.708995689765928E-2</v>
      </c>
      <c r="NY38" s="215" t="str">
        <f t="shared" si="26"/>
        <v/>
      </c>
      <c r="NZ38" s="215">
        <f t="shared" si="27"/>
        <v>1.3398514575063689E-3</v>
      </c>
      <c r="OA38" s="215">
        <f t="shared" si="28"/>
        <v>0</v>
      </c>
      <c r="OB38" s="215">
        <f t="shared" si="29"/>
        <v>1.1427843133062679E-2</v>
      </c>
      <c r="OC38" s="215">
        <f t="shared" si="30"/>
        <v>1.0378933724000169E-3</v>
      </c>
      <c r="OD38" s="215">
        <f t="shared" si="31"/>
        <v>3.4049692674946916E-3</v>
      </c>
      <c r="OE38" s="215" t="str">
        <f t="shared" si="32"/>
        <v/>
      </c>
      <c r="OF38" s="215" t="str">
        <f t="shared" si="33"/>
        <v/>
      </c>
      <c r="OG38" s="215" t="str">
        <f t="shared" si="34"/>
        <v/>
      </c>
      <c r="OH38" s="215">
        <f t="shared" si="35"/>
        <v>9.2883429016234163E-3</v>
      </c>
      <c r="OI38" s="215">
        <f t="shared" si="112"/>
        <v>7.215328E-2</v>
      </c>
      <c r="OJ38" s="218">
        <f t="shared" si="113"/>
        <v>0.10073810742804136</v>
      </c>
      <c r="OK38" s="218">
        <f t="shared" si="114"/>
        <v>9.3920818080513738E-2</v>
      </c>
      <c r="OL38" s="218" t="str">
        <f t="shared" si="115"/>
        <v/>
      </c>
      <c r="OM38" s="218" t="str">
        <f t="shared" si="116"/>
        <v/>
      </c>
      <c r="ON38" s="217">
        <f t="shared" si="36"/>
        <v>0.33259096708390229</v>
      </c>
      <c r="OO38" s="210"/>
      <c r="OP38" s="210"/>
      <c r="OQ38" s="218" t="str">
        <f t="shared" si="117"/>
        <v/>
      </c>
      <c r="OR38" s="218" t="str">
        <f t="shared" si="118"/>
        <v/>
      </c>
      <c r="OS38" s="218">
        <f t="shared" si="37"/>
        <v>0.86717066427916922</v>
      </c>
      <c r="OT38" s="218">
        <f t="shared" si="38"/>
        <v>0.98173409098084541</v>
      </c>
      <c r="OU38" s="209" t="str">
        <f t="shared" si="39"/>
        <v/>
      </c>
      <c r="OV38" s="209" t="str">
        <f t="shared" si="40"/>
        <v/>
      </c>
      <c r="OW38" s="209">
        <f t="shared" si="119"/>
        <v>5.9388775314022811E-3</v>
      </c>
      <c r="OX38" s="219" t="str">
        <f t="shared" si="41"/>
        <v/>
      </c>
      <c r="OY38" s="208">
        <f t="shared" si="120"/>
        <v>14603607</v>
      </c>
      <c r="OZ38" s="208">
        <f t="shared" si="42"/>
        <v>2260667</v>
      </c>
      <c r="PA38" s="209">
        <f t="shared" si="121"/>
        <v>0.15480196091280737</v>
      </c>
      <c r="PB38" s="209">
        <f>IF(OR($CQ38="",$OZ38=""),"",IF($OZ38=0,0,
GuardLimitUpper(
  ($OZ38-$CQ38)/$OZ38,
  data_GuardLimitFlag,
  1)
))</f>
        <v>0.31937122981845623</v>
      </c>
      <c r="PC38" s="209" t="str">
        <f t="shared" si="43"/>
        <v/>
      </c>
      <c r="PD38" s="209" t="str">
        <f t="shared" si="44"/>
        <v/>
      </c>
      <c r="PE38" s="208">
        <f t="shared" si="122"/>
        <v>1534413</v>
      </c>
      <c r="PF38" s="209">
        <f t="shared" si="123"/>
        <v>0.10507082257143732</v>
      </c>
      <c r="PG38" s="209">
        <f t="shared" si="45"/>
        <v>7.2079681285286301E-2</v>
      </c>
      <c r="PH38" s="209" t="str">
        <f t="shared" si="46"/>
        <v/>
      </c>
      <c r="PI38" s="209" t="str">
        <f t="shared" si="47"/>
        <v/>
      </c>
      <c r="PJ38" s="220" t="str">
        <f t="shared" si="48"/>
        <v/>
      </c>
      <c r="PK38" s="220" t="str">
        <f t="shared" si="49"/>
        <v/>
      </c>
      <c r="PL38" s="221">
        <f t="shared" si="124"/>
        <v>6689110</v>
      </c>
      <c r="PM38" s="221" t="str">
        <f t="shared" si="50"/>
        <v/>
      </c>
      <c r="PN38" s="221">
        <f t="shared" si="125"/>
        <v>0</v>
      </c>
      <c r="PO38" s="221" t="str">
        <f t="shared" si="51"/>
        <v/>
      </c>
      <c r="PP38" s="221" t="str">
        <f t="shared" si="52"/>
        <v/>
      </c>
      <c r="PQ38" s="529" t="str">
        <f t="shared" si="126"/>
        <v/>
      </c>
      <c r="PR38" s="221" t="str">
        <f t="shared" si="53"/>
        <v/>
      </c>
      <c r="PS38" s="221">
        <f t="shared" si="54"/>
        <v>5532970</v>
      </c>
      <c r="PT38" s="221">
        <f t="shared" si="127"/>
        <v>1886473</v>
      </c>
      <c r="PU38" s="221" t="str">
        <f t="shared" si="55"/>
        <v/>
      </c>
      <c r="PV38" s="221">
        <f t="shared" si="128"/>
        <v>0</v>
      </c>
      <c r="PW38" s="221" t="str">
        <f t="shared" si="56"/>
        <v/>
      </c>
      <c r="PX38" s="221" t="str">
        <f t="shared" si="162"/>
        <v/>
      </c>
      <c r="PY38" s="221">
        <f t="shared" si="57"/>
        <v>495054</v>
      </c>
      <c r="PZ38" s="221" t="str">
        <f t="shared" si="58"/>
        <v/>
      </c>
      <c r="QA38" s="221" t="str">
        <f t="shared" si="59"/>
        <v/>
      </c>
      <c r="QB38" s="221" t="str">
        <f t="shared" si="60"/>
        <v/>
      </c>
      <c r="QC38" s="221" t="str">
        <f t="shared" si="61"/>
        <v/>
      </c>
      <c r="QD38" s="221">
        <f t="shared" si="129"/>
        <v>14530691</v>
      </c>
      <c r="QE38" s="221">
        <f t="shared" si="130"/>
        <v>9704856</v>
      </c>
      <c r="QF38" s="221">
        <f t="shared" si="131"/>
        <v>771402</v>
      </c>
      <c r="QG38" s="222" t="str">
        <f t="shared" si="62"/>
        <v/>
      </c>
      <c r="QH38" s="222" t="str">
        <f t="shared" si="63"/>
        <v/>
      </c>
      <c r="QI38" s="222" t="str">
        <f t="shared" si="64"/>
        <v/>
      </c>
      <c r="QJ38" s="222" t="str">
        <f t="shared" si="65"/>
        <v/>
      </c>
      <c r="QK38" s="222" t="str">
        <f t="shared" si="66"/>
        <v/>
      </c>
      <c r="QL38" s="222" t="str">
        <f t="shared" si="132"/>
        <v/>
      </c>
      <c r="QM38" s="222">
        <f>IF(OR($O$8="Lv2",$O$8="Lv3",$O$8="Lv4"),IF(OR($AS38="",COUNT($PL38:$QL38)=0),"",
GuardLimitLower(
  $AS38-SUM($PL38:$QL38),
  data_GuardLimitFlag,
  0)
),"")</f>
        <v>39885254</v>
      </c>
      <c r="QN38" s="222">
        <f t="shared" si="133"/>
        <v>79495810</v>
      </c>
      <c r="QO38" s="222" t="str">
        <f t="shared" si="134"/>
        <v/>
      </c>
      <c r="QP38" s="222" t="str">
        <f t="shared" si="135"/>
        <v/>
      </c>
      <c r="QQ38" s="222" t="str">
        <f t="shared" si="136"/>
        <v/>
      </c>
      <c r="QR38" s="222">
        <f t="shared" si="67"/>
        <v>3.3412122024666426</v>
      </c>
      <c r="QS38" s="209" t="str">
        <f t="shared" si="68"/>
        <v/>
      </c>
      <c r="QT38" s="209" t="str">
        <f t="shared" si="69"/>
        <v/>
      </c>
      <c r="QU38" s="209" t="str">
        <f t="shared" si="70"/>
        <v/>
      </c>
      <c r="QV38" s="208" t="str">
        <f t="shared" si="71"/>
        <v/>
      </c>
      <c r="QW38" s="208" t="str">
        <f t="shared" si="72"/>
        <v/>
      </c>
      <c r="QX38" s="208" t="str">
        <f t="shared" si="73"/>
        <v/>
      </c>
      <c r="QY38" s="208" t="str">
        <f t="shared" si="74"/>
        <v/>
      </c>
      <c r="QZ38" s="208" t="str">
        <f t="shared" si="75"/>
        <v/>
      </c>
      <c r="RA38" s="209" t="str">
        <f t="shared" si="137"/>
        <v/>
      </c>
      <c r="RB38" s="209" t="str">
        <f t="shared" si="76"/>
        <v/>
      </c>
      <c r="RC38" s="209" t="str">
        <f t="shared" si="77"/>
        <v/>
      </c>
      <c r="RD38" s="209" t="str">
        <f t="shared" si="78"/>
        <v/>
      </c>
      <c r="RE38" s="209" t="str">
        <f t="shared" si="79"/>
        <v/>
      </c>
      <c r="RF38" s="209" t="str">
        <f t="shared" si="80"/>
        <v/>
      </c>
      <c r="RG38" s="209" t="str">
        <f t="shared" si="81"/>
        <v/>
      </c>
      <c r="RH38" s="209" t="str">
        <f t="shared" si="82"/>
        <v/>
      </c>
      <c r="RI38" s="209" t="str">
        <f t="shared" si="83"/>
        <v/>
      </c>
      <c r="RJ38" s="134"/>
      <c r="RK38" s="134"/>
      <c r="RL38" s="134"/>
      <c r="RM38" s="134"/>
      <c r="RN38" s="134"/>
      <c r="RO38" s="134"/>
      <c r="RP38" s="134"/>
      <c r="RQ38" s="134"/>
      <c r="RR38" s="222" t="str">
        <f t="shared" si="84"/>
        <v/>
      </c>
      <c r="RS38" s="224"/>
      <c r="RT38" s="224"/>
      <c r="RU38" s="208">
        <f t="shared" si="138"/>
        <v>7.215328E-2</v>
      </c>
      <c r="RV38" s="208">
        <f t="shared" si="139"/>
        <v>1</v>
      </c>
      <c r="RW38" s="208">
        <f t="shared" si="140"/>
        <v>1.0090769037500749</v>
      </c>
      <c r="RX38" s="208">
        <f t="shared" si="141"/>
        <v>1.0132052579912507</v>
      </c>
      <c r="RY38" s="208">
        <f t="shared" si="142"/>
        <v>0.98430695053120465</v>
      </c>
      <c r="RZ38" s="208">
        <f t="shared" si="85"/>
        <v>1.0167875659619596</v>
      </c>
      <c r="SA38" s="208" t="str">
        <f t="shared" si="86"/>
        <v/>
      </c>
      <c r="SB38" s="208" t="str">
        <f t="shared" si="87"/>
        <v/>
      </c>
      <c r="SC38" s="208" t="str">
        <f t="shared" si="88"/>
        <v/>
      </c>
      <c r="SD38" s="208" t="str">
        <f t="shared" si="89"/>
        <v/>
      </c>
      <c r="SE38" s="208" t="str">
        <f t="shared" si="90"/>
        <v/>
      </c>
      <c r="SF38" s="208" t="str">
        <f t="shared" si="91"/>
        <v/>
      </c>
      <c r="SG38" s="208" t="str">
        <f t="shared" si="92"/>
        <v/>
      </c>
      <c r="SH38" s="208" t="str">
        <f t="shared" si="93"/>
        <v/>
      </c>
      <c r="SI38" s="208" t="str">
        <f t="shared" si="94"/>
        <v/>
      </c>
      <c r="SJ38" s="208" t="str">
        <f t="shared" si="95"/>
        <v/>
      </c>
      <c r="SK38" s="208" t="str">
        <f t="shared" si="96"/>
        <v/>
      </c>
      <c r="SL38" s="208" t="str">
        <f t="shared" si="97"/>
        <v/>
      </c>
      <c r="SM38" s="222">
        <f t="shared" si="143"/>
        <v>3</v>
      </c>
      <c r="SN38" s="225">
        <f t="shared" si="98"/>
        <v>2.4051093333333332E-2</v>
      </c>
      <c r="SO38" s="209">
        <f t="shared" si="144"/>
        <v>0.97082989262842201</v>
      </c>
      <c r="SP38" s="209">
        <f t="shared" si="145"/>
        <v>0.99050979304480946</v>
      </c>
      <c r="SQ38" s="222">
        <f t="shared" si="146"/>
        <v>156768766</v>
      </c>
      <c r="SR38" s="222">
        <f t="shared" si="147"/>
        <v>158191741</v>
      </c>
      <c r="SS38" s="222">
        <f t="shared" si="148"/>
        <v>158838938</v>
      </c>
      <c r="ST38" s="222">
        <f t="shared" si="149"/>
        <v>154308586</v>
      </c>
      <c r="SU38" s="222">
        <f t="shared" si="150"/>
        <v>159400532</v>
      </c>
      <c r="SV38" s="222" t="str">
        <f t="shared" si="151"/>
        <v/>
      </c>
      <c r="SW38" s="222" t="str">
        <f t="shared" si="152"/>
        <v/>
      </c>
      <c r="SX38" s="222" t="str">
        <f t="shared" si="153"/>
        <v/>
      </c>
      <c r="SY38" s="222" t="str">
        <f t="shared" si="154"/>
        <v/>
      </c>
      <c r="SZ38" s="222" t="str">
        <f t="shared" si="155"/>
        <v/>
      </c>
      <c r="TA38" s="222" t="str">
        <f t="shared" si="156"/>
        <v/>
      </c>
      <c r="TB38" s="222" t="str">
        <f t="shared" si="157"/>
        <v/>
      </c>
      <c r="TC38" s="222" t="str">
        <f t="shared" si="99"/>
        <v/>
      </c>
      <c r="TD38" s="222" t="str">
        <f t="shared" si="158"/>
        <v/>
      </c>
      <c r="TE38" s="222" t="str">
        <f t="shared" si="159"/>
        <v/>
      </c>
      <c r="TF38" s="222" t="str">
        <f t="shared" si="160"/>
        <v/>
      </c>
      <c r="TG38" s="222" t="str">
        <f t="shared" si="161"/>
        <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1</v>
      </c>
      <c r="AG39" s="430">
        <v>0</v>
      </c>
      <c r="AH39" s="430" t="s">
        <v>1975</v>
      </c>
      <c r="AI39" s="430">
        <v>1</v>
      </c>
      <c r="AJ39" s="430">
        <v>3</v>
      </c>
      <c r="AK39" s="594">
        <v>7275744</v>
      </c>
      <c r="AL39" s="594">
        <v>158156325</v>
      </c>
      <c r="AM39" s="430">
        <v>67416008</v>
      </c>
      <c r="AN39" s="430">
        <v>37183</v>
      </c>
      <c r="AO39" s="430">
        <v>1609693</v>
      </c>
      <c r="AP39" s="430">
        <v>598256</v>
      </c>
      <c r="AQ39" s="595">
        <v>13224</v>
      </c>
      <c r="AR39" s="595">
        <v>17287</v>
      </c>
      <c r="AS39" s="594">
        <v>79047313</v>
      </c>
      <c r="AT39" s="594">
        <v>38696996</v>
      </c>
      <c r="AU39" s="430" t="s">
        <v>1974</v>
      </c>
      <c r="AV39" s="430" t="s">
        <v>1964</v>
      </c>
      <c r="AW39" s="430">
        <v>0</v>
      </c>
      <c r="AX39" s="430">
        <v>13</v>
      </c>
      <c r="AY39" s="430">
        <v>0</v>
      </c>
      <c r="AZ39" s="430" t="s">
        <v>1975</v>
      </c>
      <c r="BA39" s="430">
        <v>1</v>
      </c>
      <c r="BB39" s="430">
        <v>3</v>
      </c>
      <c r="BC39" s="430">
        <v>7243488</v>
      </c>
      <c r="BD39" s="430">
        <v>158287285</v>
      </c>
      <c r="BE39" s="430">
        <v>130948372</v>
      </c>
      <c r="BF39" s="595">
        <v>7201698</v>
      </c>
      <c r="BG39" s="430">
        <v>60371346</v>
      </c>
      <c r="BH39" s="595">
        <v>1556829</v>
      </c>
      <c r="BI39" s="430">
        <v>37769568</v>
      </c>
      <c r="BJ39" s="430">
        <v>29881916</v>
      </c>
      <c r="BK39" s="430">
        <v>0</v>
      </c>
      <c r="BL39" s="430">
        <v>2736692</v>
      </c>
      <c r="BM39" s="430" t="s">
        <v>1974</v>
      </c>
      <c r="BN39" s="430" t="s">
        <v>1964</v>
      </c>
      <c r="BO39" s="430">
        <v>0</v>
      </c>
      <c r="BP39" s="430">
        <v>13</v>
      </c>
      <c r="BQ39" s="430">
        <v>0</v>
      </c>
      <c r="BR39" s="430" t="s">
        <v>1975</v>
      </c>
      <c r="BS39" s="430">
        <v>1</v>
      </c>
      <c r="BT39" s="430">
        <v>3</v>
      </c>
      <c r="BU39" s="430">
        <v>7249248</v>
      </c>
      <c r="BV39" s="430">
        <v>158688230</v>
      </c>
      <c r="BW39" s="594">
        <v>54912666</v>
      </c>
      <c r="BX39" s="594">
        <v>51605904</v>
      </c>
      <c r="BY39" s="430">
        <v>119683729</v>
      </c>
      <c r="BZ39" s="430">
        <v>902687</v>
      </c>
      <c r="CA39" s="430">
        <v>16538158</v>
      </c>
      <c r="CB39" s="430">
        <v>229493104</v>
      </c>
      <c r="CC39" s="430">
        <v>15403525</v>
      </c>
      <c r="CD39" s="430">
        <v>241899132</v>
      </c>
      <c r="CE39" s="430" t="s">
        <v>1974</v>
      </c>
      <c r="CF39" s="430" t="s">
        <v>1964</v>
      </c>
      <c r="CG39" s="430">
        <v>0</v>
      </c>
      <c r="CH39" s="430">
        <v>13</v>
      </c>
      <c r="CI39" s="430">
        <v>0</v>
      </c>
      <c r="CJ39" s="430" t="s">
        <v>1975</v>
      </c>
      <c r="CK39" s="430">
        <v>1</v>
      </c>
      <c r="CL39" s="430">
        <v>3</v>
      </c>
      <c r="CM39" s="430">
        <v>6909280</v>
      </c>
      <c r="CN39" s="430">
        <v>151726892</v>
      </c>
      <c r="CO39" s="430">
        <v>13760</v>
      </c>
      <c r="CP39" s="430">
        <v>2267543</v>
      </c>
      <c r="CQ39" s="430">
        <v>1568944</v>
      </c>
      <c r="CR39" s="430">
        <v>1619488</v>
      </c>
      <c r="CS39" s="430">
        <v>132622</v>
      </c>
      <c r="CT39" s="430">
        <v>0</v>
      </c>
      <c r="CU39" s="430">
        <v>0</v>
      </c>
      <c r="CV39" s="430">
        <v>17301</v>
      </c>
      <c r="CW39" s="430" t="s">
        <v>1974</v>
      </c>
      <c r="CX39" s="430" t="s">
        <v>1964</v>
      </c>
      <c r="CY39" s="430">
        <v>0</v>
      </c>
      <c r="CZ39" s="430">
        <v>13</v>
      </c>
      <c r="DA39" s="430">
        <v>0</v>
      </c>
      <c r="DB39" s="430" t="s">
        <v>1975</v>
      </c>
      <c r="DC39" s="430">
        <v>1</v>
      </c>
      <c r="DD39" s="430">
        <v>3</v>
      </c>
      <c r="DE39" s="430">
        <v>7328256</v>
      </c>
      <c r="DF39" s="430">
        <v>159074226</v>
      </c>
      <c r="DG39" s="430">
        <v>25806399</v>
      </c>
      <c r="DH39" s="430">
        <v>10014928</v>
      </c>
      <c r="DI39" s="430">
        <v>796268</v>
      </c>
      <c r="DJ39" s="430">
        <v>11775327</v>
      </c>
      <c r="DK39" s="430">
        <v>2389476</v>
      </c>
      <c r="DL39" s="430">
        <v>6900659</v>
      </c>
      <c r="DM39" s="430">
        <v>1946165</v>
      </c>
      <c r="DN39" s="430">
        <v>10014464</v>
      </c>
      <c r="DO39" s="595"/>
      <c r="DP39" s="595"/>
      <c r="DQ39" s="595"/>
      <c r="DR39" s="595"/>
      <c r="DS39" s="595"/>
      <c r="DT39" s="595"/>
      <c r="DU39" s="595"/>
      <c r="DV39" s="595"/>
      <c r="DW39" s="595"/>
      <c r="DX39" s="595"/>
      <c r="DY39" s="595"/>
      <c r="DZ39" s="595"/>
      <c r="EA39" s="595"/>
      <c r="EB39" s="430"/>
      <c r="EC39" s="595"/>
      <c r="ED39" s="595"/>
      <c r="EE39" s="595"/>
      <c r="EF39" s="595"/>
      <c r="EG39" s="595"/>
      <c r="EH39" s="595"/>
      <c r="EI39" s="595"/>
      <c r="EJ39" s="595"/>
      <c r="EK39" s="595"/>
      <c r="EL39" s="595"/>
      <c r="EM39" s="595"/>
      <c r="EN39" s="595"/>
      <c r="EO39" s="595"/>
      <c r="EP39" s="595"/>
      <c r="EQ39" s="595"/>
      <c r="ER39" s="595"/>
      <c r="ES39" s="430"/>
      <c r="ET39" s="595"/>
      <c r="EU39" s="595"/>
      <c r="EV39" s="595"/>
      <c r="EW39" s="595"/>
      <c r="EX39" s="595"/>
      <c r="EY39" s="595"/>
      <c r="EZ39" s="595"/>
      <c r="FA39" s="595"/>
      <c r="FB39" s="595"/>
      <c r="FC39" s="595"/>
      <c r="FD39" s="595"/>
      <c r="FE39" s="595"/>
      <c r="FF39" s="595"/>
      <c r="FG39" s="595"/>
      <c r="FH39" s="595"/>
      <c r="FI39" s="595"/>
      <c r="FJ39" s="595"/>
      <c r="FK39" s="595"/>
      <c r="FL39" s="595"/>
      <c r="FM39" s="595"/>
      <c r="FN39" s="595"/>
      <c r="FO39" s="430"/>
      <c r="FP39" s="430"/>
      <c r="FQ39" s="595"/>
      <c r="FR39" s="595"/>
      <c r="FS39" s="595"/>
      <c r="FT39" s="595"/>
      <c r="FU39" s="595"/>
      <c r="FV39" s="595"/>
      <c r="FW39" s="595"/>
      <c r="FX39" s="595"/>
      <c r="FY39" s="595"/>
      <c r="FZ39" s="595"/>
      <c r="GA39" s="595"/>
      <c r="GB39" s="595"/>
      <c r="GC39" s="595"/>
      <c r="GD39" s="595"/>
      <c r="GE39" s="595"/>
      <c r="GF39" s="595"/>
      <c r="GG39" s="595"/>
      <c r="GH39" s="595"/>
      <c r="GI39" s="595"/>
      <c r="GJ39" s="595"/>
      <c r="GK39" s="595"/>
      <c r="GL39" s="595"/>
      <c r="GM39" s="595"/>
      <c r="GN39" s="595"/>
      <c r="GO39" s="595"/>
      <c r="GP39" s="595"/>
      <c r="GQ39" s="595"/>
      <c r="GR39" s="595"/>
      <c r="GS39" s="595"/>
      <c r="GT39" s="595"/>
      <c r="GU39" s="595"/>
      <c r="GV39" s="595"/>
      <c r="GW39" s="595"/>
      <c r="GX39" s="595"/>
      <c r="GY39" s="595"/>
      <c r="GZ39" s="595"/>
      <c r="HA39" s="595"/>
      <c r="HB39" s="595"/>
      <c r="HC39" s="595"/>
      <c r="HD39" s="595"/>
      <c r="HE39" s="595"/>
      <c r="HF39" s="595"/>
      <c r="HG39" s="595"/>
      <c r="HH39" s="595"/>
      <c r="HI39" s="595"/>
      <c r="HJ39" s="595"/>
      <c r="HK39" s="595"/>
      <c r="HL39" s="595"/>
      <c r="HM39" s="595"/>
      <c r="HN39" s="595"/>
      <c r="HO39" s="595"/>
      <c r="HP39" s="595"/>
      <c r="HQ39" s="595"/>
      <c r="HR39" s="595"/>
      <c r="HS39" s="595"/>
      <c r="HT39" s="595"/>
      <c r="HU39" s="595"/>
      <c r="HV39" s="595"/>
      <c r="HW39" s="595"/>
      <c r="HX39" s="595"/>
      <c r="HY39" s="595"/>
      <c r="HZ39" s="595"/>
      <c r="IA39" s="595"/>
      <c r="IB39" s="595"/>
      <c r="IC39" s="595"/>
      <c r="ID39" s="595"/>
      <c r="IE39" s="595"/>
      <c r="IF39" s="595"/>
      <c r="IG39" s="595"/>
      <c r="IH39" s="595"/>
      <c r="II39" s="595"/>
      <c r="IJ39" s="595"/>
      <c r="IK39" s="595"/>
      <c r="IL39" s="595"/>
      <c r="IM39" s="595"/>
      <c r="IN39" s="595"/>
      <c r="IO39" s="595"/>
      <c r="IP39" s="595"/>
      <c r="IQ39" s="595"/>
      <c r="IR39" s="595"/>
      <c r="IS39" s="595"/>
      <c r="IT39" s="595"/>
      <c r="IU39" s="595"/>
      <c r="IV39" s="595"/>
      <c r="IW39" s="595"/>
      <c r="IX39" s="595"/>
      <c r="IY39" s="595"/>
      <c r="IZ39" s="595"/>
      <c r="JA39" s="595"/>
      <c r="JB39" s="595"/>
      <c r="JC39" s="595"/>
      <c r="JD39" s="595"/>
      <c r="JE39" s="595"/>
      <c r="JF39" s="595"/>
      <c r="JG39" s="595"/>
      <c r="JH39" s="595"/>
      <c r="JI39" s="595"/>
      <c r="JJ39" s="595"/>
      <c r="JK39" s="595"/>
      <c r="JL39" s="595"/>
      <c r="JM39" s="595"/>
      <c r="JN39" s="595"/>
      <c r="JO39" s="595"/>
      <c r="JP39" s="595"/>
      <c r="JQ39" s="595"/>
      <c r="JR39" s="595"/>
      <c r="JS39" s="595"/>
      <c r="JT39" s="595"/>
      <c r="JU39" s="595"/>
      <c r="JV39" s="595"/>
      <c r="JW39" s="595"/>
      <c r="JX39" s="595"/>
      <c r="JY39" s="595"/>
      <c r="JZ39" s="595"/>
      <c r="KA39" s="595"/>
      <c r="KB39" s="595"/>
      <c r="KC39" s="595"/>
      <c r="KD39" s="595"/>
      <c r="KE39" s="595"/>
      <c r="KF39" s="595"/>
      <c r="KG39" s="595"/>
      <c r="KH39" s="595"/>
      <c r="KI39" s="595"/>
      <c r="KJ39" s="595"/>
      <c r="KK39" s="595"/>
      <c r="KL39" s="595"/>
      <c r="KM39" s="595"/>
      <c r="KN39" s="595"/>
      <c r="KO39" s="595"/>
      <c r="KP39" s="595"/>
      <c r="KQ39" s="595"/>
      <c r="KR39" s="595"/>
      <c r="KS39" s="595"/>
      <c r="KT39" s="595"/>
      <c r="KU39" s="595"/>
      <c r="KV39" s="595"/>
      <c r="KW39" s="595"/>
      <c r="KX39" s="595"/>
      <c r="KY39" s="595"/>
      <c r="KZ39" s="595"/>
      <c r="LA39" s="595"/>
      <c r="LB39" s="595"/>
      <c r="LC39" s="595"/>
      <c r="LD39" s="595"/>
      <c r="LE39" s="595"/>
      <c r="LF39" s="595"/>
      <c r="LG39" s="595"/>
      <c r="LH39" s="595"/>
      <c r="LI39" s="595"/>
      <c r="LJ39" s="595"/>
      <c r="LK39" s="595"/>
      <c r="LL39" s="595"/>
      <c r="LM39" s="595"/>
      <c r="LN39" s="595"/>
      <c r="LO39" s="595"/>
      <c r="LP39" s="595"/>
      <c r="LQ39" s="595"/>
      <c r="LR39" s="595"/>
      <c r="LS39" s="595"/>
      <c r="LT39" s="595"/>
      <c r="LU39" s="595"/>
      <c r="LV39" s="595"/>
      <c r="MC39" s="252" t="s">
        <v>1185</v>
      </c>
      <c r="MD39" s="371"/>
      <c r="ME39" s="372"/>
      <c r="MF39" s="372"/>
      <c r="MG39" s="372"/>
      <c r="MH39" s="372"/>
      <c r="MI39" s="372"/>
      <c r="MJ39" s="372"/>
      <c r="MK39" s="372"/>
      <c r="ML39" s="372"/>
      <c r="MM39" s="372"/>
      <c r="MN39" s="372"/>
      <c r="MO39" s="372"/>
      <c r="MP39" s="372"/>
      <c r="MQ39" s="372"/>
      <c r="MR39" s="372"/>
      <c r="MS39" s="372"/>
      <c r="MT39" s="373"/>
      <c r="NA39" s="424">
        <f t="shared" si="100"/>
        <v>1</v>
      </c>
      <c r="NB39" s="424">
        <f t="shared" si="101"/>
        <v>0</v>
      </c>
      <c r="NC39" s="207">
        <f t="shared" si="102"/>
        <v>7.2757440000000007E-2</v>
      </c>
      <c r="ND39" s="208">
        <f t="shared" si="103"/>
        <v>3.7068541031680056</v>
      </c>
      <c r="NE39" s="209">
        <f t="shared" si="15"/>
        <v>5.3317421138469649E-2</v>
      </c>
      <c r="NF39" s="208">
        <f t="shared" si="16"/>
        <v>7.6614038096997357</v>
      </c>
      <c r="NG39" s="210"/>
      <c r="NH39" s="211">
        <f t="shared" si="104"/>
        <v>79047313</v>
      </c>
      <c r="NI39" s="208">
        <f t="shared" si="17"/>
        <v>269701215</v>
      </c>
      <c r="NJ39" s="212">
        <f t="shared" si="105"/>
        <v>0.48954220619744532</v>
      </c>
      <c r="NK39" s="213">
        <f t="shared" si="106"/>
        <v>0.99986213261961021</v>
      </c>
      <c r="NL39" s="214">
        <f t="shared" si="18"/>
        <v>0.92236889177066839</v>
      </c>
      <c r="NM39" s="208">
        <f t="shared" si="107"/>
        <v>0.49980494298915962</v>
      </c>
      <c r="NN39" s="208">
        <f t="shared" si="19"/>
        <v>1.0864498943338301</v>
      </c>
      <c r="NO39" s="215">
        <f t="shared" si="20"/>
        <v>7.1560323090866088E-4</v>
      </c>
      <c r="NP39" s="216" t="str">
        <f t="shared" si="108"/>
        <v/>
      </c>
      <c r="NQ39" s="215" t="str">
        <f t="shared" si="109"/>
        <v/>
      </c>
      <c r="NR39" s="215" t="str">
        <f t="shared" si="110"/>
        <v/>
      </c>
      <c r="NS39" s="215" t="str">
        <f t="shared" si="21"/>
        <v/>
      </c>
      <c r="NT39" s="215" t="str">
        <f t="shared" si="22"/>
        <v/>
      </c>
      <c r="NU39" s="215">
        <f t="shared" si="23"/>
        <v>2.7034348916632693E-2</v>
      </c>
      <c r="NV39" s="215" t="str">
        <f t="shared" si="111"/>
        <v/>
      </c>
      <c r="NW39" s="215" t="str">
        <f t="shared" si="24"/>
        <v/>
      </c>
      <c r="NX39" s="215">
        <f t="shared" si="25"/>
        <v>1.7360946443587811E-2</v>
      </c>
      <c r="NY39" s="215" t="str">
        <f t="shared" si="26"/>
        <v/>
      </c>
      <c r="NZ39" s="215">
        <f t="shared" si="27"/>
        <v>1.344738123043048E-3</v>
      </c>
      <c r="OA39" s="215">
        <f t="shared" si="28"/>
        <v>0</v>
      </c>
      <c r="OB39" s="215">
        <f t="shared" si="29"/>
        <v>1.2477420447678789E-2</v>
      </c>
      <c r="OC39" s="215">
        <f t="shared" si="30"/>
        <v>1.2579323979717008E-3</v>
      </c>
      <c r="OD39" s="215">
        <f t="shared" si="31"/>
        <v>3.3102918540369179E-3</v>
      </c>
      <c r="OE39" s="215" t="str">
        <f t="shared" si="32"/>
        <v/>
      </c>
      <c r="OF39" s="215" t="str">
        <f t="shared" si="33"/>
        <v/>
      </c>
      <c r="OG39" s="215" t="str">
        <f t="shared" si="34"/>
        <v/>
      </c>
      <c r="OH39" s="215">
        <f t="shared" si="35"/>
        <v>9.2561585861403832E-3</v>
      </c>
      <c r="OI39" s="215">
        <f t="shared" si="112"/>
        <v>7.2757440000000007E-2</v>
      </c>
      <c r="OJ39" s="218">
        <f t="shared" si="113"/>
        <v>0.10421792466901925</v>
      </c>
      <c r="OK39" s="218">
        <f t="shared" si="114"/>
        <v>9.7067848069135307E-2</v>
      </c>
      <c r="OL39" s="218" t="str">
        <f t="shared" si="115"/>
        <v/>
      </c>
      <c r="OM39" s="218" t="str">
        <f t="shared" si="116"/>
        <v/>
      </c>
      <c r="ON39" s="217">
        <f t="shared" si="36"/>
        <v>0.33562215042665733</v>
      </c>
      <c r="OO39" s="210"/>
      <c r="OP39" s="210"/>
      <c r="OQ39" s="218" t="str">
        <f t="shared" si="117"/>
        <v/>
      </c>
      <c r="OR39" s="218" t="str">
        <f t="shared" si="118"/>
        <v/>
      </c>
      <c r="OS39" s="218">
        <f t="shared" si="37"/>
        <v>0.86728636889307742</v>
      </c>
      <c r="OT39" s="218">
        <f t="shared" si="38"/>
        <v>0.98150882671336592</v>
      </c>
      <c r="OU39" s="209" t="str">
        <f t="shared" si="39"/>
        <v/>
      </c>
      <c r="OV39" s="209" t="str">
        <f t="shared" si="40"/>
        <v/>
      </c>
      <c r="OW39" s="209">
        <f t="shared" si="119"/>
        <v>5.6884307046590667E-3</v>
      </c>
      <c r="OX39" s="219" t="str">
        <f t="shared" si="41"/>
        <v/>
      </c>
      <c r="OY39" s="208">
        <f t="shared" si="120"/>
        <v>14164803</v>
      </c>
      <c r="OZ39" s="208">
        <f t="shared" si="42"/>
        <v>2267543</v>
      </c>
      <c r="PA39" s="209">
        <f t="shared" si="121"/>
        <v>0.16008291820225104</v>
      </c>
      <c r="PB39" s="209">
        <f>IF(OR($CQ39="",$OZ39=""),"",IF($OZ39=0,0,
GuardLimitUpper(
  ($OZ39-$CQ39)/$OZ39,
  data_GuardLimitFlag,
  1)
))</f>
        <v>0.30808632956464332</v>
      </c>
      <c r="PC39" s="209" t="str">
        <f t="shared" si="43"/>
        <v/>
      </c>
      <c r="PD39" s="209" t="str">
        <f t="shared" si="44"/>
        <v/>
      </c>
      <c r="PE39" s="208">
        <f t="shared" si="122"/>
        <v>1579182</v>
      </c>
      <c r="PF39" s="209">
        <f t="shared" si="123"/>
        <v>0.11148633694376124</v>
      </c>
      <c r="PG39" s="209">
        <f t="shared" si="45"/>
        <v>7.5268081829706776E-2</v>
      </c>
      <c r="PH39" s="209" t="str">
        <f t="shared" si="46"/>
        <v/>
      </c>
      <c r="PI39" s="209" t="str">
        <f t="shared" si="47"/>
        <v/>
      </c>
      <c r="PJ39" s="220" t="str">
        <f t="shared" si="48"/>
        <v/>
      </c>
      <c r="PK39" s="220" t="str">
        <f t="shared" si="49"/>
        <v/>
      </c>
      <c r="PL39" s="221">
        <f t="shared" si="124"/>
        <v>6900659</v>
      </c>
      <c r="PM39" s="221" t="str">
        <f t="shared" si="50"/>
        <v/>
      </c>
      <c r="PN39" s="221">
        <f t="shared" si="125"/>
        <v>0</v>
      </c>
      <c r="PO39" s="221" t="str">
        <f t="shared" si="51"/>
        <v/>
      </c>
      <c r="PP39" s="221" t="str">
        <f t="shared" si="52"/>
        <v/>
      </c>
      <c r="PQ39" s="529" t="str">
        <f t="shared" si="126"/>
        <v/>
      </c>
      <c r="PR39" s="221" t="str">
        <f t="shared" si="53"/>
        <v/>
      </c>
      <c r="PS39" s="221">
        <f t="shared" si="54"/>
        <v>4874668</v>
      </c>
      <c r="PT39" s="221">
        <f t="shared" si="127"/>
        <v>1946165</v>
      </c>
      <c r="PU39" s="221" t="str">
        <f t="shared" si="55"/>
        <v/>
      </c>
      <c r="PV39" s="221">
        <f t="shared" si="128"/>
        <v>0</v>
      </c>
      <c r="PW39" s="221" t="str">
        <f t="shared" si="56"/>
        <v/>
      </c>
      <c r="PX39" s="221" t="str">
        <f t="shared" si="162"/>
        <v/>
      </c>
      <c r="PY39" s="221">
        <f t="shared" si="57"/>
        <v>443311</v>
      </c>
      <c r="PZ39" s="221" t="str">
        <f t="shared" si="58"/>
        <v/>
      </c>
      <c r="QA39" s="221" t="str">
        <f t="shared" si="59"/>
        <v/>
      </c>
      <c r="QB39" s="221" t="str">
        <f t="shared" si="60"/>
        <v/>
      </c>
      <c r="QC39" s="221" t="str">
        <f t="shared" si="61"/>
        <v/>
      </c>
      <c r="QD39" s="221">
        <f t="shared" si="129"/>
        <v>14995203</v>
      </c>
      <c r="QE39" s="221">
        <f t="shared" si="130"/>
        <v>10014928</v>
      </c>
      <c r="QF39" s="221">
        <f t="shared" si="131"/>
        <v>796268</v>
      </c>
      <c r="QG39" s="222" t="str">
        <f t="shared" si="62"/>
        <v/>
      </c>
      <c r="QH39" s="222" t="str">
        <f t="shared" si="63"/>
        <v/>
      </c>
      <c r="QI39" s="222" t="str">
        <f t="shared" si="64"/>
        <v/>
      </c>
      <c r="QJ39" s="222" t="str">
        <f t="shared" si="65"/>
        <v/>
      </c>
      <c r="QK39" s="222" t="str">
        <f t="shared" si="66"/>
        <v/>
      </c>
      <c r="QL39" s="222" t="str">
        <f t="shared" si="132"/>
        <v/>
      </c>
      <c r="QM39" s="222">
        <f>IF(OR($O$8="Lv2",$O$8="Lv3",$O$8="Lv4"),IF(OR($AS39="",COUNT($PL39:$QL39)=0),"",
GuardLimitLower(
  $AS39-SUM($PL39:$QL39),
  data_GuardLimitFlag,
  0)
),"")</f>
        <v>39076111</v>
      </c>
      <c r="QN39" s="222">
        <f t="shared" si="133"/>
        <v>79047313</v>
      </c>
      <c r="QO39" s="222" t="str">
        <f t="shared" si="134"/>
        <v/>
      </c>
      <c r="QP39" s="222" t="str">
        <f t="shared" si="135"/>
        <v/>
      </c>
      <c r="QQ39" s="222" t="str">
        <f t="shared" si="136"/>
        <v/>
      </c>
      <c r="QR39" s="222">
        <f t="shared" si="67"/>
        <v>3.4190869110946283</v>
      </c>
      <c r="QS39" s="209" t="str">
        <f t="shared" si="68"/>
        <v/>
      </c>
      <c r="QT39" s="209" t="str">
        <f t="shared" si="69"/>
        <v/>
      </c>
      <c r="QU39" s="209" t="str">
        <f t="shared" si="70"/>
        <v/>
      </c>
      <c r="QV39" s="208" t="str">
        <f t="shared" si="71"/>
        <v/>
      </c>
      <c r="QW39" s="208" t="str">
        <f t="shared" si="72"/>
        <v/>
      </c>
      <c r="QX39" s="208" t="str">
        <f t="shared" si="73"/>
        <v/>
      </c>
      <c r="QY39" s="208" t="str">
        <f t="shared" si="74"/>
        <v/>
      </c>
      <c r="QZ39" s="208" t="str">
        <f t="shared" si="75"/>
        <v/>
      </c>
      <c r="RA39" s="209" t="str">
        <f t="shared" si="137"/>
        <v/>
      </c>
      <c r="RB39" s="209" t="str">
        <f t="shared" si="76"/>
        <v/>
      </c>
      <c r="RC39" s="209" t="str">
        <f t="shared" si="77"/>
        <v/>
      </c>
      <c r="RD39" s="209" t="str">
        <f t="shared" si="78"/>
        <v/>
      </c>
      <c r="RE39" s="209" t="str">
        <f t="shared" si="79"/>
        <v/>
      </c>
      <c r="RF39" s="209" t="str">
        <f t="shared" si="80"/>
        <v/>
      </c>
      <c r="RG39" s="209" t="str">
        <f t="shared" si="81"/>
        <v/>
      </c>
      <c r="RH39" s="209" t="str">
        <f t="shared" si="82"/>
        <v/>
      </c>
      <c r="RI39" s="209" t="str">
        <f t="shared" si="83"/>
        <v/>
      </c>
      <c r="RJ39" s="134"/>
      <c r="RK39" s="134"/>
      <c r="RL39" s="134"/>
      <c r="RM39" s="134"/>
      <c r="RN39" s="134"/>
      <c r="RO39" s="134"/>
      <c r="RP39" s="134"/>
      <c r="RQ39" s="134"/>
      <c r="RR39" s="222" t="str">
        <f t="shared" si="84"/>
        <v/>
      </c>
      <c r="RS39" s="224"/>
      <c r="RT39" s="224"/>
      <c r="RU39" s="208">
        <f t="shared" si="138"/>
        <v>7.2757440000000007E-2</v>
      </c>
      <c r="RV39" s="208">
        <f t="shared" si="139"/>
        <v>1</v>
      </c>
      <c r="RW39" s="208">
        <f t="shared" si="140"/>
        <v>1.0008280414962853</v>
      </c>
      <c r="RX39" s="208">
        <f t="shared" si="141"/>
        <v>1.0033631598356878</v>
      </c>
      <c r="RY39" s="208">
        <f t="shared" si="142"/>
        <v>0.95934760750162851</v>
      </c>
      <c r="RZ39" s="208">
        <f t="shared" si="85"/>
        <v>1.0058037577694094</v>
      </c>
      <c r="SA39" s="208" t="str">
        <f t="shared" si="86"/>
        <v/>
      </c>
      <c r="SB39" s="208" t="str">
        <f t="shared" si="87"/>
        <v/>
      </c>
      <c r="SC39" s="208" t="str">
        <f t="shared" si="88"/>
        <v/>
      </c>
      <c r="SD39" s="208" t="str">
        <f t="shared" si="89"/>
        <v/>
      </c>
      <c r="SE39" s="208" t="str">
        <f t="shared" si="90"/>
        <v/>
      </c>
      <c r="SF39" s="208" t="str">
        <f t="shared" si="91"/>
        <v/>
      </c>
      <c r="SG39" s="208" t="str">
        <f t="shared" si="92"/>
        <v/>
      </c>
      <c r="SH39" s="208" t="str">
        <f t="shared" si="93"/>
        <v/>
      </c>
      <c r="SI39" s="208" t="str">
        <f t="shared" si="94"/>
        <v/>
      </c>
      <c r="SJ39" s="208" t="str">
        <f t="shared" si="95"/>
        <v/>
      </c>
      <c r="SK39" s="208" t="str">
        <f t="shared" si="96"/>
        <v/>
      </c>
      <c r="SL39" s="208" t="str">
        <f t="shared" si="97"/>
        <v/>
      </c>
      <c r="SM39" s="222">
        <f t="shared" si="143"/>
        <v>3</v>
      </c>
      <c r="SN39" s="225">
        <f t="shared" si="98"/>
        <v>2.4252480000000003E-2</v>
      </c>
      <c r="SO39" s="209">
        <f t="shared" si="144"/>
        <v>0.9760737103455831</v>
      </c>
      <c r="SP39" s="209">
        <f t="shared" si="145"/>
        <v>0.98492156555645227</v>
      </c>
      <c r="SQ39" s="222">
        <f t="shared" si="146"/>
        <v>158156325</v>
      </c>
      <c r="SR39" s="222">
        <f t="shared" si="147"/>
        <v>158287285</v>
      </c>
      <c r="SS39" s="222">
        <f t="shared" si="148"/>
        <v>158688230</v>
      </c>
      <c r="ST39" s="222">
        <f t="shared" si="149"/>
        <v>151726892</v>
      </c>
      <c r="SU39" s="222">
        <f t="shared" si="150"/>
        <v>159074226</v>
      </c>
      <c r="SV39" s="222" t="str">
        <f t="shared" si="151"/>
        <v/>
      </c>
      <c r="SW39" s="222" t="str">
        <f t="shared" si="152"/>
        <v/>
      </c>
      <c r="SX39" s="222" t="str">
        <f t="shared" si="153"/>
        <v/>
      </c>
      <c r="SY39" s="222" t="str">
        <f t="shared" si="154"/>
        <v/>
      </c>
      <c r="SZ39" s="222" t="str">
        <f t="shared" si="155"/>
        <v/>
      </c>
      <c r="TA39" s="222" t="str">
        <f t="shared" si="156"/>
        <v/>
      </c>
      <c r="TB39" s="222" t="str">
        <f t="shared" si="157"/>
        <v/>
      </c>
      <c r="TC39" s="222" t="str">
        <f t="shared" si="99"/>
        <v/>
      </c>
      <c r="TD39" s="222" t="str">
        <f t="shared" si="158"/>
        <v/>
      </c>
      <c r="TE39" s="222" t="str">
        <f t="shared" si="159"/>
        <v/>
      </c>
      <c r="TF39" s="222" t="str">
        <f t="shared" si="160"/>
        <v/>
      </c>
      <c r="TG39" s="222" t="str">
        <f t="shared" si="161"/>
        <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1</v>
      </c>
      <c r="AG40" s="430">
        <v>1</v>
      </c>
      <c r="AH40" s="430" t="s">
        <v>1975</v>
      </c>
      <c r="AI40" s="430">
        <v>1</v>
      </c>
      <c r="AJ40" s="430">
        <v>3</v>
      </c>
      <c r="AK40" s="594">
        <v>7271360</v>
      </c>
      <c r="AL40" s="594">
        <v>158221724</v>
      </c>
      <c r="AM40" s="430">
        <v>65327900</v>
      </c>
      <c r="AN40" s="430">
        <v>36325</v>
      </c>
      <c r="AO40" s="430">
        <v>1574807</v>
      </c>
      <c r="AP40" s="430">
        <v>605197</v>
      </c>
      <c r="AQ40" s="595">
        <v>13482</v>
      </c>
      <c r="AR40" s="595">
        <v>17617</v>
      </c>
      <c r="AS40" s="594">
        <v>80257470</v>
      </c>
      <c r="AT40" s="594">
        <v>37500590</v>
      </c>
      <c r="AU40" s="430" t="s">
        <v>1974</v>
      </c>
      <c r="AV40" s="430" t="s">
        <v>1964</v>
      </c>
      <c r="AW40" s="430">
        <v>0</v>
      </c>
      <c r="AX40" s="430">
        <v>13</v>
      </c>
      <c r="AY40" s="430">
        <v>1</v>
      </c>
      <c r="AZ40" s="430" t="s">
        <v>1975</v>
      </c>
      <c r="BA40" s="430">
        <v>1</v>
      </c>
      <c r="BB40" s="430">
        <v>3</v>
      </c>
      <c r="BC40" s="430">
        <v>7240896</v>
      </c>
      <c r="BD40" s="430">
        <v>158276307</v>
      </c>
      <c r="BE40" s="430">
        <v>130389683</v>
      </c>
      <c r="BF40" s="595">
        <v>7416359</v>
      </c>
      <c r="BG40" s="430">
        <v>63751884</v>
      </c>
      <c r="BH40" s="595">
        <v>1505229</v>
      </c>
      <c r="BI40" s="430">
        <v>36880963</v>
      </c>
      <c r="BJ40" s="430">
        <v>26780700</v>
      </c>
      <c r="BK40" s="430">
        <v>0</v>
      </c>
      <c r="BL40" s="430">
        <v>1659328</v>
      </c>
      <c r="BM40" s="430" t="s">
        <v>1974</v>
      </c>
      <c r="BN40" s="430" t="s">
        <v>1964</v>
      </c>
      <c r="BO40" s="430">
        <v>0</v>
      </c>
      <c r="BP40" s="430">
        <v>13</v>
      </c>
      <c r="BQ40" s="430">
        <v>1</v>
      </c>
      <c r="BR40" s="430" t="s">
        <v>1975</v>
      </c>
      <c r="BS40" s="430">
        <v>1</v>
      </c>
      <c r="BT40" s="430">
        <v>3</v>
      </c>
      <c r="BU40" s="430">
        <v>7241920</v>
      </c>
      <c r="BV40" s="430">
        <v>158480717</v>
      </c>
      <c r="BW40" s="594">
        <v>53509986</v>
      </c>
      <c r="BX40" s="594">
        <v>51246392</v>
      </c>
      <c r="BY40" s="430">
        <v>119657099</v>
      </c>
      <c r="BZ40" s="430">
        <v>934807</v>
      </c>
      <c r="CA40" s="430">
        <v>16018924</v>
      </c>
      <c r="CB40" s="430">
        <v>222273510</v>
      </c>
      <c r="CC40" s="430">
        <v>14922395</v>
      </c>
      <c r="CD40" s="430">
        <v>234370384</v>
      </c>
      <c r="CE40" s="430" t="s">
        <v>1974</v>
      </c>
      <c r="CF40" s="430" t="s">
        <v>1964</v>
      </c>
      <c r="CG40" s="430">
        <v>0</v>
      </c>
      <c r="CH40" s="430">
        <v>13</v>
      </c>
      <c r="CI40" s="430">
        <v>1</v>
      </c>
      <c r="CJ40" s="430" t="s">
        <v>1975</v>
      </c>
      <c r="CK40" s="430">
        <v>1</v>
      </c>
      <c r="CL40" s="430">
        <v>3</v>
      </c>
      <c r="CM40" s="430">
        <v>6897984</v>
      </c>
      <c r="CN40" s="430">
        <v>151342863</v>
      </c>
      <c r="CO40" s="430">
        <v>13573</v>
      </c>
      <c r="CP40" s="430">
        <v>2198916</v>
      </c>
      <c r="CQ40" s="430">
        <v>1527982</v>
      </c>
      <c r="CR40" s="430">
        <v>1584763</v>
      </c>
      <c r="CS40" s="430">
        <v>129151</v>
      </c>
      <c r="CT40" s="430">
        <v>0</v>
      </c>
      <c r="CU40" s="430">
        <v>0</v>
      </c>
      <c r="CV40" s="430">
        <v>16726</v>
      </c>
      <c r="CW40" s="430" t="s">
        <v>1974</v>
      </c>
      <c r="CX40" s="430" t="s">
        <v>1964</v>
      </c>
      <c r="CY40" s="430">
        <v>0</v>
      </c>
      <c r="CZ40" s="430">
        <v>13</v>
      </c>
      <c r="DA40" s="430">
        <v>1</v>
      </c>
      <c r="DB40" s="430" t="s">
        <v>1975</v>
      </c>
      <c r="DC40" s="430">
        <v>1</v>
      </c>
      <c r="DD40" s="430">
        <v>3</v>
      </c>
      <c r="DE40" s="430">
        <v>7325792</v>
      </c>
      <c r="DF40" s="430">
        <v>158185203</v>
      </c>
      <c r="DG40" s="430">
        <v>25006949</v>
      </c>
      <c r="DH40" s="430">
        <v>9704856</v>
      </c>
      <c r="DI40" s="430">
        <v>771402</v>
      </c>
      <c r="DJ40" s="430">
        <v>12368901</v>
      </c>
      <c r="DK40" s="430">
        <v>2392515</v>
      </c>
      <c r="DL40" s="430">
        <v>6689110</v>
      </c>
      <c r="DM40" s="430">
        <v>1886473</v>
      </c>
      <c r="DN40" s="430">
        <v>9740734</v>
      </c>
      <c r="DO40" s="595"/>
      <c r="DP40" s="595"/>
      <c r="DQ40" s="595"/>
      <c r="DR40" s="595"/>
      <c r="DS40" s="595"/>
      <c r="DT40" s="595"/>
      <c r="DU40" s="595"/>
      <c r="DV40" s="595"/>
      <c r="DW40" s="595"/>
      <c r="DX40" s="595"/>
      <c r="DY40" s="595"/>
      <c r="DZ40" s="595"/>
      <c r="EA40" s="595"/>
      <c r="EB40" s="430"/>
      <c r="EC40" s="595"/>
      <c r="ED40" s="595"/>
      <c r="EE40" s="595"/>
      <c r="EF40" s="595"/>
      <c r="EG40" s="595"/>
      <c r="EH40" s="595"/>
      <c r="EI40" s="595"/>
      <c r="EJ40" s="595"/>
      <c r="EK40" s="595"/>
      <c r="EL40" s="595"/>
      <c r="EM40" s="595"/>
      <c r="EN40" s="595"/>
      <c r="EO40" s="595"/>
      <c r="EP40" s="595"/>
      <c r="EQ40" s="595"/>
      <c r="ER40" s="595"/>
      <c r="ES40" s="430"/>
      <c r="ET40" s="595"/>
      <c r="EU40" s="595"/>
      <c r="EV40" s="595"/>
      <c r="EW40" s="595"/>
      <c r="EX40" s="595"/>
      <c r="EY40" s="595"/>
      <c r="EZ40" s="595"/>
      <c r="FA40" s="595"/>
      <c r="FB40" s="595"/>
      <c r="FC40" s="595"/>
      <c r="FD40" s="595"/>
      <c r="FE40" s="595"/>
      <c r="FF40" s="595"/>
      <c r="FG40" s="595"/>
      <c r="FH40" s="595"/>
      <c r="FI40" s="595"/>
      <c r="FJ40" s="595"/>
      <c r="FK40" s="595"/>
      <c r="FL40" s="595"/>
      <c r="FM40" s="595"/>
      <c r="FN40" s="595"/>
      <c r="FO40" s="430"/>
      <c r="FP40" s="430"/>
      <c r="FQ40" s="595"/>
      <c r="FR40" s="595"/>
      <c r="FS40" s="595"/>
      <c r="FT40" s="595"/>
      <c r="FU40" s="595"/>
      <c r="FV40" s="595"/>
      <c r="FW40" s="595"/>
      <c r="FX40" s="595"/>
      <c r="FY40" s="595"/>
      <c r="FZ40" s="595"/>
      <c r="GA40" s="595"/>
      <c r="GB40" s="595"/>
      <c r="GC40" s="595"/>
      <c r="GD40" s="595"/>
      <c r="GE40" s="595"/>
      <c r="GF40" s="595"/>
      <c r="GG40" s="595"/>
      <c r="GH40" s="595"/>
      <c r="GI40" s="595"/>
      <c r="GJ40" s="595"/>
      <c r="GK40" s="595"/>
      <c r="GL40" s="595"/>
      <c r="GM40" s="595"/>
      <c r="GN40" s="595"/>
      <c r="GO40" s="595"/>
      <c r="GP40" s="595"/>
      <c r="GQ40" s="595"/>
      <c r="GR40" s="595"/>
      <c r="GS40" s="595"/>
      <c r="GT40" s="595"/>
      <c r="GU40" s="595"/>
      <c r="GV40" s="595"/>
      <c r="GW40" s="595"/>
      <c r="GX40" s="595"/>
      <c r="GY40" s="595"/>
      <c r="GZ40" s="595"/>
      <c r="HA40" s="595"/>
      <c r="HB40" s="595"/>
      <c r="HC40" s="595"/>
      <c r="HD40" s="595"/>
      <c r="HE40" s="595"/>
      <c r="HF40" s="595"/>
      <c r="HG40" s="595"/>
      <c r="HH40" s="595"/>
      <c r="HI40" s="595"/>
      <c r="HJ40" s="595"/>
      <c r="HK40" s="595"/>
      <c r="HL40" s="595"/>
      <c r="HM40" s="595"/>
      <c r="HN40" s="595"/>
      <c r="HO40" s="595"/>
      <c r="HP40" s="595"/>
      <c r="HQ40" s="595"/>
      <c r="HR40" s="595"/>
      <c r="HS40" s="595"/>
      <c r="HT40" s="595"/>
      <c r="HU40" s="595"/>
      <c r="HV40" s="595"/>
      <c r="HW40" s="595"/>
      <c r="HX40" s="595"/>
      <c r="HY40" s="595"/>
      <c r="HZ40" s="595"/>
      <c r="IA40" s="595"/>
      <c r="IB40" s="595"/>
      <c r="IC40" s="595"/>
      <c r="ID40" s="595"/>
      <c r="IE40" s="595"/>
      <c r="IF40" s="595"/>
      <c r="IG40" s="595"/>
      <c r="IH40" s="595"/>
      <c r="II40" s="595"/>
      <c r="IJ40" s="595"/>
      <c r="IK40" s="595"/>
      <c r="IL40" s="595"/>
      <c r="IM40" s="595"/>
      <c r="IN40" s="595"/>
      <c r="IO40" s="595"/>
      <c r="IP40" s="595"/>
      <c r="IQ40" s="595"/>
      <c r="IR40" s="595"/>
      <c r="IS40" s="595"/>
      <c r="IT40" s="595"/>
      <c r="IU40" s="595"/>
      <c r="IV40" s="595"/>
      <c r="IW40" s="595"/>
      <c r="IX40" s="595"/>
      <c r="IY40" s="595"/>
      <c r="IZ40" s="595"/>
      <c r="JA40" s="595"/>
      <c r="JB40" s="595"/>
      <c r="JC40" s="595"/>
      <c r="JD40" s="595"/>
      <c r="JE40" s="595"/>
      <c r="JF40" s="595"/>
      <c r="JG40" s="595"/>
      <c r="JH40" s="595"/>
      <c r="JI40" s="595"/>
      <c r="JJ40" s="595"/>
      <c r="JK40" s="595"/>
      <c r="JL40" s="595"/>
      <c r="JM40" s="595"/>
      <c r="JN40" s="595"/>
      <c r="JO40" s="595"/>
      <c r="JP40" s="595"/>
      <c r="JQ40" s="595"/>
      <c r="JR40" s="595"/>
      <c r="JS40" s="595"/>
      <c r="JT40" s="595"/>
      <c r="JU40" s="595"/>
      <c r="JV40" s="595"/>
      <c r="JW40" s="595"/>
      <c r="JX40" s="595"/>
      <c r="JY40" s="595"/>
      <c r="JZ40" s="595"/>
      <c r="KA40" s="595"/>
      <c r="KB40" s="595"/>
      <c r="KC40" s="595"/>
      <c r="KD40" s="595"/>
      <c r="KE40" s="595"/>
      <c r="KF40" s="595"/>
      <c r="KG40" s="595"/>
      <c r="KH40" s="595"/>
      <c r="KI40" s="595"/>
      <c r="KJ40" s="595"/>
      <c r="KK40" s="595"/>
      <c r="KL40" s="595"/>
      <c r="KM40" s="595"/>
      <c r="KN40" s="595"/>
      <c r="KO40" s="595"/>
      <c r="KP40" s="595"/>
      <c r="KQ40" s="595"/>
      <c r="KR40" s="595"/>
      <c r="KS40" s="595"/>
      <c r="KT40" s="595"/>
      <c r="KU40" s="595"/>
      <c r="KV40" s="595"/>
      <c r="KW40" s="595"/>
      <c r="KX40" s="595"/>
      <c r="KY40" s="595"/>
      <c r="KZ40" s="595"/>
      <c r="LA40" s="595"/>
      <c r="LB40" s="595"/>
      <c r="LC40" s="595"/>
      <c r="LD40" s="595"/>
      <c r="LE40" s="595"/>
      <c r="LF40" s="595"/>
      <c r="LG40" s="595"/>
      <c r="LH40" s="595"/>
      <c r="LI40" s="595"/>
      <c r="LJ40" s="595"/>
      <c r="LK40" s="595"/>
      <c r="LL40" s="595"/>
      <c r="LM40" s="595"/>
      <c r="LN40" s="595"/>
      <c r="LO40" s="595"/>
      <c r="LP40" s="595"/>
      <c r="LQ40" s="595"/>
      <c r="LR40" s="595"/>
      <c r="LS40" s="595"/>
      <c r="LT40" s="595"/>
      <c r="LU40" s="595"/>
      <c r="LV40" s="595"/>
      <c r="MC40" s="252" t="s">
        <v>1186</v>
      </c>
      <c r="MD40" s="371"/>
      <c r="ME40" s="372"/>
      <c r="MF40" s="372"/>
      <c r="MG40" s="372"/>
      <c r="MH40" s="372"/>
      <c r="MI40" s="372"/>
      <c r="MJ40" s="372"/>
      <c r="MK40" s="372"/>
      <c r="ML40" s="372"/>
      <c r="MM40" s="372"/>
      <c r="MN40" s="372"/>
      <c r="MO40" s="372"/>
      <c r="MP40" s="372"/>
      <c r="MQ40" s="372"/>
      <c r="MR40" s="372"/>
      <c r="MS40" s="372"/>
      <c r="MT40" s="373"/>
      <c r="NA40" s="424">
        <f t="shared" si="100"/>
        <v>1</v>
      </c>
      <c r="NB40" s="424">
        <f t="shared" si="101"/>
        <v>1</v>
      </c>
      <c r="NC40" s="207">
        <f t="shared" si="102"/>
        <v>7.2713600000000003E-2</v>
      </c>
      <c r="ND40" s="208">
        <f t="shared" si="103"/>
        <v>3.5942096801698713</v>
      </c>
      <c r="NE40" s="209">
        <f t="shared" si="15"/>
        <v>5.1697203570489673E-2</v>
      </c>
      <c r="NF40" s="208">
        <f t="shared" si="16"/>
        <v>7.5655679267702327</v>
      </c>
      <c r="NG40" s="210"/>
      <c r="NH40" s="211">
        <f t="shared" si="104"/>
        <v>80257470</v>
      </c>
      <c r="NI40" s="208">
        <f t="shared" si="17"/>
        <v>261347925</v>
      </c>
      <c r="NJ40" s="212">
        <f t="shared" si="105"/>
        <v>0.46725357776665521</v>
      </c>
      <c r="NK40" s="213">
        <f t="shared" si="106"/>
        <v>0.99986100903613451</v>
      </c>
      <c r="NL40" s="214">
        <f t="shared" si="18"/>
        <v>0.9223990539963729</v>
      </c>
      <c r="NM40" s="208">
        <f t="shared" si="107"/>
        <v>0.50724684304413215</v>
      </c>
      <c r="NN40" s="208">
        <f t="shared" si="19"/>
        <v>1.1037477170708092</v>
      </c>
      <c r="NO40" s="215">
        <f t="shared" si="20"/>
        <v>6.915161308028245E-4</v>
      </c>
      <c r="NP40" s="216" t="str">
        <f t="shared" si="108"/>
        <v/>
      </c>
      <c r="NQ40" s="215" t="str">
        <f t="shared" si="109"/>
        <v/>
      </c>
      <c r="NR40" s="215" t="str">
        <f t="shared" si="110"/>
        <v/>
      </c>
      <c r="NS40" s="215" t="str">
        <f t="shared" si="21"/>
        <v/>
      </c>
      <c r="NT40" s="215" t="str">
        <f t="shared" si="22"/>
        <v/>
      </c>
      <c r="NU40" s="215">
        <f t="shared" si="23"/>
        <v>2.8596689288485862E-2</v>
      </c>
      <c r="NV40" s="215" t="str">
        <f t="shared" si="111"/>
        <v/>
      </c>
      <c r="NW40" s="215" t="str">
        <f t="shared" si="24"/>
        <v/>
      </c>
      <c r="NX40" s="215">
        <f t="shared" si="25"/>
        <v>1.6943455669563987E-2</v>
      </c>
      <c r="NY40" s="215" t="str">
        <f t="shared" si="26"/>
        <v/>
      </c>
      <c r="NZ40" s="215">
        <f t="shared" si="27"/>
        <v>1.3672644172169118E-3</v>
      </c>
      <c r="OA40" s="215">
        <f t="shared" si="28"/>
        <v>0</v>
      </c>
      <c r="OB40" s="215">
        <f t="shared" si="29"/>
        <v>1.1540990750177157E-2</v>
      </c>
      <c r="OC40" s="215">
        <f t="shared" si="30"/>
        <v>7.6231063731351781E-4</v>
      </c>
      <c r="OD40" s="215">
        <f t="shared" si="31"/>
        <v>3.407143949741006E-3</v>
      </c>
      <c r="OE40" s="215" t="str">
        <f t="shared" si="32"/>
        <v/>
      </c>
      <c r="OF40" s="215" t="str">
        <f t="shared" si="33"/>
        <v/>
      </c>
      <c r="OG40" s="215" t="str">
        <f t="shared" si="34"/>
        <v/>
      </c>
      <c r="OH40" s="215">
        <f t="shared" si="35"/>
        <v>9.4042291566987356E-3</v>
      </c>
      <c r="OI40" s="215">
        <f t="shared" si="112"/>
        <v>7.2713600000000003E-2</v>
      </c>
      <c r="OJ40" s="218">
        <f t="shared" si="113"/>
        <v>0.10107806364858887</v>
      </c>
      <c r="OK40" s="218">
        <f t="shared" si="114"/>
        <v>9.4159057849290267E-2</v>
      </c>
      <c r="OL40" s="218" t="str">
        <f t="shared" si="115"/>
        <v/>
      </c>
      <c r="OM40" s="218" t="str">
        <f t="shared" si="116"/>
        <v/>
      </c>
      <c r="ON40" s="217">
        <f t="shared" si="36"/>
        <v>0.33050196889253092</v>
      </c>
      <c r="OO40" s="210"/>
      <c r="OP40" s="210"/>
      <c r="OQ40" s="218" t="str">
        <f t="shared" si="117"/>
        <v/>
      </c>
      <c r="OR40" s="218" t="str">
        <f t="shared" si="118"/>
        <v/>
      </c>
      <c r="OS40" s="218">
        <f t="shared" si="37"/>
        <v>0.86723018193981072</v>
      </c>
      <c r="OT40" s="218">
        <f t="shared" si="38"/>
        <v>0.9816218509160225</v>
      </c>
      <c r="OU40" s="209" t="str">
        <f t="shared" si="39"/>
        <v/>
      </c>
      <c r="OV40" s="209" t="str">
        <f t="shared" si="40"/>
        <v/>
      </c>
      <c r="OW40" s="209">
        <f t="shared" si="119"/>
        <v>5.8985535760795425E-3</v>
      </c>
      <c r="OX40" s="219" t="str">
        <f t="shared" si="41"/>
        <v/>
      </c>
      <c r="OY40" s="208">
        <f t="shared" si="120"/>
        <v>14761416</v>
      </c>
      <c r="OZ40" s="208">
        <f t="shared" si="42"/>
        <v>2198916</v>
      </c>
      <c r="PA40" s="209">
        <f t="shared" si="121"/>
        <v>0.14896375794842445</v>
      </c>
      <c r="PB40" s="209">
        <f>IF(OR($CQ40="",$OZ40=""),"",IF($OZ40=0,0,
GuardLimitUpper(
  ($OZ40-$CQ40)/$OZ40,
  data_GuardLimitFlag,
  1)
))</f>
        <v>0.30512034111353048</v>
      </c>
      <c r="PC40" s="209" t="str">
        <f t="shared" si="43"/>
        <v/>
      </c>
      <c r="PD40" s="209" t="str">
        <f t="shared" si="44"/>
        <v/>
      </c>
      <c r="PE40" s="208">
        <f t="shared" si="122"/>
        <v>1543708</v>
      </c>
      <c r="PF40" s="209">
        <f t="shared" si="123"/>
        <v>0.10457723026029481</v>
      </c>
      <c r="PG40" s="209">
        <f t="shared" si="45"/>
        <v>7.4870377040217456E-2</v>
      </c>
      <c r="PH40" s="209" t="str">
        <f t="shared" si="46"/>
        <v/>
      </c>
      <c r="PI40" s="209" t="str">
        <f t="shared" si="47"/>
        <v/>
      </c>
      <c r="PJ40" s="220" t="str">
        <f t="shared" si="48"/>
        <v/>
      </c>
      <c r="PK40" s="220" t="str">
        <f t="shared" si="49"/>
        <v/>
      </c>
      <c r="PL40" s="221">
        <f t="shared" si="124"/>
        <v>6689110</v>
      </c>
      <c r="PM40" s="221" t="str">
        <f t="shared" si="50"/>
        <v/>
      </c>
      <c r="PN40" s="221">
        <f t="shared" si="125"/>
        <v>0</v>
      </c>
      <c r="PO40" s="221" t="str">
        <f t="shared" si="51"/>
        <v/>
      </c>
      <c r="PP40" s="221" t="str">
        <f t="shared" si="52"/>
        <v/>
      </c>
      <c r="PQ40" s="529" t="str">
        <f t="shared" si="126"/>
        <v/>
      </c>
      <c r="PR40" s="221" t="str">
        <f t="shared" si="53"/>
        <v/>
      </c>
      <c r="PS40" s="221">
        <f t="shared" si="54"/>
        <v>5679791</v>
      </c>
      <c r="PT40" s="221">
        <f t="shared" si="127"/>
        <v>1886473</v>
      </c>
      <c r="PU40" s="221" t="str">
        <f t="shared" si="55"/>
        <v/>
      </c>
      <c r="PV40" s="221">
        <f t="shared" si="128"/>
        <v>0</v>
      </c>
      <c r="PW40" s="221" t="str">
        <f t="shared" si="56"/>
        <v/>
      </c>
      <c r="PX40" s="221" t="str">
        <f t="shared" si="162"/>
        <v/>
      </c>
      <c r="PY40" s="221">
        <f t="shared" si="57"/>
        <v>506042</v>
      </c>
      <c r="PZ40" s="221" t="str">
        <f t="shared" si="58"/>
        <v/>
      </c>
      <c r="QA40" s="221" t="str">
        <f t="shared" si="59"/>
        <v/>
      </c>
      <c r="QB40" s="221" t="str">
        <f t="shared" si="60"/>
        <v/>
      </c>
      <c r="QC40" s="221" t="str">
        <f t="shared" si="61"/>
        <v/>
      </c>
      <c r="QD40" s="221">
        <f t="shared" si="129"/>
        <v>14530691</v>
      </c>
      <c r="QE40" s="221">
        <f t="shared" si="130"/>
        <v>9704856</v>
      </c>
      <c r="QF40" s="221">
        <f t="shared" si="131"/>
        <v>771402</v>
      </c>
      <c r="QG40" s="222" t="str">
        <f t="shared" si="62"/>
        <v/>
      </c>
      <c r="QH40" s="222" t="str">
        <f t="shared" si="63"/>
        <v/>
      </c>
      <c r="QI40" s="222" t="str">
        <f t="shared" si="64"/>
        <v/>
      </c>
      <c r="QJ40" s="222" t="str">
        <f t="shared" si="65"/>
        <v/>
      </c>
      <c r="QK40" s="222" t="str">
        <f t="shared" si="66"/>
        <v/>
      </c>
      <c r="QL40" s="222" t="str">
        <f t="shared" si="132"/>
        <v/>
      </c>
      <c r="QM40" s="222">
        <f>IF(OR($O$8="Lv2",$O$8="Lv3",$O$8="Lv4"),IF(OR($AS40="",COUNT($PL40:$QL40)=0),"",
GuardLimitLower(
  $AS40-SUM($PL40:$QL40),
  data_GuardLimitFlag,
  0)
),"")</f>
        <v>40489105</v>
      </c>
      <c r="QN40" s="222">
        <f t="shared" si="133"/>
        <v>80257470</v>
      </c>
      <c r="QO40" s="222" t="str">
        <f t="shared" si="134"/>
        <v/>
      </c>
      <c r="QP40" s="222" t="str">
        <f t="shared" si="135"/>
        <v/>
      </c>
      <c r="QQ40" s="222" t="str">
        <f t="shared" si="136"/>
        <v/>
      </c>
      <c r="QR40" s="222">
        <f t="shared" si="67"/>
        <v>3.3152956088532957</v>
      </c>
      <c r="QS40" s="209" t="str">
        <f t="shared" si="68"/>
        <v/>
      </c>
      <c r="QT40" s="209" t="str">
        <f t="shared" si="69"/>
        <v/>
      </c>
      <c r="QU40" s="209" t="str">
        <f t="shared" si="70"/>
        <v/>
      </c>
      <c r="QV40" s="208" t="str">
        <f t="shared" si="71"/>
        <v/>
      </c>
      <c r="QW40" s="208" t="str">
        <f t="shared" si="72"/>
        <v/>
      </c>
      <c r="QX40" s="208" t="str">
        <f t="shared" si="73"/>
        <v/>
      </c>
      <c r="QY40" s="208" t="str">
        <f t="shared" si="74"/>
        <v/>
      </c>
      <c r="QZ40" s="208" t="str">
        <f t="shared" si="75"/>
        <v/>
      </c>
      <c r="RA40" s="209" t="str">
        <f t="shared" si="137"/>
        <v/>
      </c>
      <c r="RB40" s="209" t="str">
        <f t="shared" si="76"/>
        <v/>
      </c>
      <c r="RC40" s="209" t="str">
        <f t="shared" si="77"/>
        <v/>
      </c>
      <c r="RD40" s="209" t="str">
        <f t="shared" si="78"/>
        <v/>
      </c>
      <c r="RE40" s="209" t="str">
        <f t="shared" si="79"/>
        <v/>
      </c>
      <c r="RF40" s="209" t="str">
        <f t="shared" si="80"/>
        <v/>
      </c>
      <c r="RG40" s="209" t="str">
        <f t="shared" si="81"/>
        <v/>
      </c>
      <c r="RH40" s="209" t="str">
        <f t="shared" si="82"/>
        <v/>
      </c>
      <c r="RI40" s="209" t="str">
        <f t="shared" si="83"/>
        <v/>
      </c>
      <c r="RJ40" s="134"/>
      <c r="RK40" s="134"/>
      <c r="RL40" s="134"/>
      <c r="RM40" s="134"/>
      <c r="RN40" s="134"/>
      <c r="RO40" s="134"/>
      <c r="RP40" s="134"/>
      <c r="RQ40" s="134"/>
      <c r="RR40" s="222" t="str">
        <f t="shared" si="84"/>
        <v/>
      </c>
      <c r="RS40" s="224"/>
      <c r="RT40" s="224"/>
      <c r="RU40" s="208">
        <f t="shared" si="138"/>
        <v>7.2713600000000003E-2</v>
      </c>
      <c r="RV40" s="208">
        <f t="shared" si="139"/>
        <v>1</v>
      </c>
      <c r="RW40" s="208">
        <f t="shared" si="140"/>
        <v>1.0003449779121356</v>
      </c>
      <c r="RX40" s="208">
        <f t="shared" si="141"/>
        <v>1.0016368991150673</v>
      </c>
      <c r="RY40" s="208">
        <f t="shared" si="142"/>
        <v>0.95652391576772355</v>
      </c>
      <c r="RZ40" s="208">
        <f t="shared" si="85"/>
        <v>0.99976917834620482</v>
      </c>
      <c r="SA40" s="208" t="str">
        <f t="shared" si="86"/>
        <v/>
      </c>
      <c r="SB40" s="208" t="str">
        <f t="shared" si="87"/>
        <v/>
      </c>
      <c r="SC40" s="208" t="str">
        <f t="shared" si="88"/>
        <v/>
      </c>
      <c r="SD40" s="208" t="str">
        <f t="shared" si="89"/>
        <v/>
      </c>
      <c r="SE40" s="208" t="str">
        <f t="shared" si="90"/>
        <v/>
      </c>
      <c r="SF40" s="208" t="str">
        <f t="shared" si="91"/>
        <v/>
      </c>
      <c r="SG40" s="208" t="str">
        <f t="shared" si="92"/>
        <v/>
      </c>
      <c r="SH40" s="208" t="str">
        <f t="shared" si="93"/>
        <v/>
      </c>
      <c r="SI40" s="208" t="str">
        <f t="shared" si="94"/>
        <v/>
      </c>
      <c r="SJ40" s="208" t="str">
        <f t="shared" si="95"/>
        <v/>
      </c>
      <c r="SK40" s="208" t="str">
        <f t="shared" si="96"/>
        <v/>
      </c>
      <c r="SL40" s="208" t="str">
        <f t="shared" si="97"/>
        <v/>
      </c>
      <c r="SM40" s="222">
        <f t="shared" si="143"/>
        <v>3</v>
      </c>
      <c r="SN40" s="225">
        <f t="shared" si="98"/>
        <v>2.4237866666666667E-2</v>
      </c>
      <c r="SO40" s="209">
        <f t="shared" si="144"/>
        <v>0.98224119756586681</v>
      </c>
      <c r="SP40" s="209">
        <f t="shared" si="145"/>
        <v>1</v>
      </c>
      <c r="SQ40" s="222">
        <f t="shared" si="146"/>
        <v>158221724</v>
      </c>
      <c r="SR40" s="222">
        <f t="shared" si="147"/>
        <v>158276307</v>
      </c>
      <c r="SS40" s="222">
        <f t="shared" si="148"/>
        <v>158480717</v>
      </c>
      <c r="ST40" s="222">
        <f t="shared" si="149"/>
        <v>151342863</v>
      </c>
      <c r="SU40" s="222">
        <f t="shared" si="150"/>
        <v>158185203</v>
      </c>
      <c r="SV40" s="222" t="str">
        <f t="shared" si="151"/>
        <v/>
      </c>
      <c r="SW40" s="222" t="str">
        <f t="shared" si="152"/>
        <v/>
      </c>
      <c r="SX40" s="222" t="str">
        <f t="shared" si="153"/>
        <v/>
      </c>
      <c r="SY40" s="222" t="str">
        <f t="shared" si="154"/>
        <v/>
      </c>
      <c r="SZ40" s="222" t="str">
        <f t="shared" si="155"/>
        <v/>
      </c>
      <c r="TA40" s="222" t="str">
        <f t="shared" si="156"/>
        <v/>
      </c>
      <c r="TB40" s="222" t="str">
        <f t="shared" si="157"/>
        <v/>
      </c>
      <c r="TC40" s="222" t="str">
        <f t="shared" si="99"/>
        <v/>
      </c>
      <c r="TD40" s="222" t="str">
        <f t="shared" si="158"/>
        <v/>
      </c>
      <c r="TE40" s="222" t="str">
        <f t="shared" si="159"/>
        <v/>
      </c>
      <c r="TF40" s="222" t="str">
        <f t="shared" si="160"/>
        <v/>
      </c>
      <c r="TG40" s="222" t="str">
        <f t="shared" si="161"/>
        <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1</v>
      </c>
      <c r="AG41" s="430">
        <v>2</v>
      </c>
      <c r="AH41" s="430" t="s">
        <v>1975</v>
      </c>
      <c r="AI41" s="430">
        <v>1</v>
      </c>
      <c r="AJ41" s="430">
        <v>3</v>
      </c>
      <c r="AK41" s="594">
        <v>7273056</v>
      </c>
      <c r="AL41" s="594">
        <v>158247582</v>
      </c>
      <c r="AM41" s="430">
        <v>65327900</v>
      </c>
      <c r="AN41" s="430">
        <v>36325</v>
      </c>
      <c r="AO41" s="430">
        <v>1569087</v>
      </c>
      <c r="AP41" s="430">
        <v>577291</v>
      </c>
      <c r="AQ41" s="595">
        <v>12529</v>
      </c>
      <c r="AR41" s="595">
        <v>16586</v>
      </c>
      <c r="AS41" s="594">
        <v>79991696</v>
      </c>
      <c r="AT41" s="594">
        <v>37500590</v>
      </c>
      <c r="AU41" s="430" t="s">
        <v>1974</v>
      </c>
      <c r="AV41" s="430" t="s">
        <v>1964</v>
      </c>
      <c r="AW41" s="430">
        <v>0</v>
      </c>
      <c r="AX41" s="430">
        <v>13</v>
      </c>
      <c r="AY41" s="430">
        <v>2</v>
      </c>
      <c r="AZ41" s="430" t="s">
        <v>1975</v>
      </c>
      <c r="BA41" s="430">
        <v>1</v>
      </c>
      <c r="BB41" s="430">
        <v>3</v>
      </c>
      <c r="BC41" s="430">
        <v>7239200</v>
      </c>
      <c r="BD41" s="430">
        <v>157661950</v>
      </c>
      <c r="BE41" s="430">
        <v>129492937</v>
      </c>
      <c r="BF41" s="595">
        <v>7721695</v>
      </c>
      <c r="BG41" s="430">
        <v>60937050</v>
      </c>
      <c r="BH41" s="595">
        <v>1561163</v>
      </c>
      <c r="BI41" s="430">
        <v>36831644</v>
      </c>
      <c r="BJ41" s="430">
        <v>28351809</v>
      </c>
      <c r="BK41" s="430">
        <v>0</v>
      </c>
      <c r="BL41" s="430">
        <v>2741834</v>
      </c>
      <c r="BM41" s="430" t="s">
        <v>1974</v>
      </c>
      <c r="BN41" s="430" t="s">
        <v>1964</v>
      </c>
      <c r="BO41" s="430">
        <v>0</v>
      </c>
      <c r="BP41" s="430">
        <v>13</v>
      </c>
      <c r="BQ41" s="430">
        <v>2</v>
      </c>
      <c r="BR41" s="430" t="s">
        <v>1975</v>
      </c>
      <c r="BS41" s="430">
        <v>1</v>
      </c>
      <c r="BT41" s="430">
        <v>3</v>
      </c>
      <c r="BU41" s="430">
        <v>7240128</v>
      </c>
      <c r="BV41" s="430">
        <v>158396401</v>
      </c>
      <c r="BW41" s="594">
        <v>55819358</v>
      </c>
      <c r="BX41" s="594">
        <v>50692824</v>
      </c>
      <c r="BY41" s="430">
        <v>119626967</v>
      </c>
      <c r="BZ41" s="430">
        <v>915312</v>
      </c>
      <c r="CA41" s="430">
        <v>16016367</v>
      </c>
      <c r="CB41" s="430">
        <v>222250546</v>
      </c>
      <c r="CC41" s="430">
        <v>14913988</v>
      </c>
      <c r="CD41" s="430">
        <v>234239624</v>
      </c>
      <c r="CE41" s="430" t="s">
        <v>1974</v>
      </c>
      <c r="CF41" s="430" t="s">
        <v>1964</v>
      </c>
      <c r="CG41" s="430">
        <v>0</v>
      </c>
      <c r="CH41" s="430">
        <v>13</v>
      </c>
      <c r="CI41" s="430">
        <v>2</v>
      </c>
      <c r="CJ41" s="430" t="s">
        <v>1975</v>
      </c>
      <c r="CK41" s="430">
        <v>1</v>
      </c>
      <c r="CL41" s="430">
        <v>3</v>
      </c>
      <c r="CM41" s="430">
        <v>6901504</v>
      </c>
      <c r="CN41" s="430">
        <v>151639970</v>
      </c>
      <c r="CO41" s="430">
        <v>13721</v>
      </c>
      <c r="CP41" s="430">
        <v>2198398</v>
      </c>
      <c r="CQ41" s="430">
        <v>1526777</v>
      </c>
      <c r="CR41" s="430">
        <v>1584796</v>
      </c>
      <c r="CS41" s="430">
        <v>128962</v>
      </c>
      <c r="CT41" s="430">
        <v>0</v>
      </c>
      <c r="CU41" s="430">
        <v>0</v>
      </c>
      <c r="CV41" s="430">
        <v>17274</v>
      </c>
      <c r="CW41" s="430" t="s">
        <v>1974</v>
      </c>
      <c r="CX41" s="430" t="s">
        <v>1964</v>
      </c>
      <c r="CY41" s="430">
        <v>0</v>
      </c>
      <c r="CZ41" s="430">
        <v>13</v>
      </c>
      <c r="DA41" s="430">
        <v>2</v>
      </c>
      <c r="DB41" s="430" t="s">
        <v>1975</v>
      </c>
      <c r="DC41" s="430">
        <v>1</v>
      </c>
      <c r="DD41" s="430">
        <v>3</v>
      </c>
      <c r="DE41" s="430">
        <v>7324256</v>
      </c>
      <c r="DF41" s="430">
        <v>157939313</v>
      </c>
      <c r="DG41" s="430">
        <v>25006949</v>
      </c>
      <c r="DH41" s="430">
        <v>9704856</v>
      </c>
      <c r="DI41" s="430">
        <v>771402</v>
      </c>
      <c r="DJ41" s="430">
        <v>12277076</v>
      </c>
      <c r="DK41" s="430">
        <v>2379148</v>
      </c>
      <c r="DL41" s="430">
        <v>6689110</v>
      </c>
      <c r="DM41" s="430">
        <v>1886473</v>
      </c>
      <c r="DN41" s="430">
        <v>9740716</v>
      </c>
      <c r="DO41" s="595"/>
      <c r="DP41" s="595"/>
      <c r="DQ41" s="595"/>
      <c r="DR41" s="595"/>
      <c r="DS41" s="595"/>
      <c r="DT41" s="595"/>
      <c r="DU41" s="595"/>
      <c r="DV41" s="595"/>
      <c r="DW41" s="595"/>
      <c r="DX41" s="595"/>
      <c r="DY41" s="595"/>
      <c r="DZ41" s="595"/>
      <c r="EA41" s="595"/>
      <c r="EB41" s="430"/>
      <c r="EC41" s="595"/>
      <c r="ED41" s="595"/>
      <c r="EE41" s="595"/>
      <c r="EF41" s="595"/>
      <c r="EG41" s="595"/>
      <c r="EH41" s="595"/>
      <c r="EI41" s="595"/>
      <c r="EJ41" s="595"/>
      <c r="EK41" s="595"/>
      <c r="EL41" s="595"/>
      <c r="EM41" s="595"/>
      <c r="EN41" s="595"/>
      <c r="EO41" s="595"/>
      <c r="EP41" s="595"/>
      <c r="EQ41" s="595"/>
      <c r="ER41" s="595"/>
      <c r="ES41" s="430"/>
      <c r="ET41" s="595"/>
      <c r="EU41" s="595"/>
      <c r="EV41" s="595"/>
      <c r="EW41" s="595"/>
      <c r="EX41" s="595"/>
      <c r="EY41" s="595"/>
      <c r="EZ41" s="595"/>
      <c r="FA41" s="595"/>
      <c r="FB41" s="595"/>
      <c r="FC41" s="595"/>
      <c r="FD41" s="595"/>
      <c r="FE41" s="595"/>
      <c r="FF41" s="595"/>
      <c r="FG41" s="595"/>
      <c r="FH41" s="595"/>
      <c r="FI41" s="595"/>
      <c r="FJ41" s="595"/>
      <c r="FK41" s="595"/>
      <c r="FL41" s="595"/>
      <c r="FM41" s="595"/>
      <c r="FN41" s="595"/>
      <c r="FO41" s="430"/>
      <c r="FP41" s="430"/>
      <c r="FQ41" s="595"/>
      <c r="FR41" s="595"/>
      <c r="FS41" s="595"/>
      <c r="FT41" s="595"/>
      <c r="FU41" s="595"/>
      <c r="FV41" s="595"/>
      <c r="FW41" s="595"/>
      <c r="FX41" s="595"/>
      <c r="FY41" s="595"/>
      <c r="FZ41" s="595"/>
      <c r="GA41" s="595"/>
      <c r="GB41" s="595"/>
      <c r="GC41" s="595"/>
      <c r="GD41" s="595"/>
      <c r="GE41" s="595"/>
      <c r="GF41" s="595"/>
      <c r="GG41" s="595"/>
      <c r="GH41" s="595"/>
      <c r="GI41" s="595"/>
      <c r="GJ41" s="595"/>
      <c r="GK41" s="595"/>
      <c r="GL41" s="595"/>
      <c r="GM41" s="595"/>
      <c r="GN41" s="595"/>
      <c r="GO41" s="595"/>
      <c r="GP41" s="595"/>
      <c r="GQ41" s="595"/>
      <c r="GR41" s="595"/>
      <c r="GS41" s="595"/>
      <c r="GT41" s="595"/>
      <c r="GU41" s="595"/>
      <c r="GV41" s="595"/>
      <c r="GW41" s="595"/>
      <c r="GX41" s="595"/>
      <c r="GY41" s="595"/>
      <c r="GZ41" s="595"/>
      <c r="HA41" s="595"/>
      <c r="HB41" s="595"/>
      <c r="HC41" s="595"/>
      <c r="HD41" s="595"/>
      <c r="HE41" s="595"/>
      <c r="HF41" s="595"/>
      <c r="HG41" s="595"/>
      <c r="HH41" s="595"/>
      <c r="HI41" s="595"/>
      <c r="HJ41" s="595"/>
      <c r="HK41" s="595"/>
      <c r="HL41" s="595"/>
      <c r="HM41" s="595"/>
      <c r="HN41" s="595"/>
      <c r="HO41" s="595"/>
      <c r="HP41" s="595"/>
      <c r="HQ41" s="595"/>
      <c r="HR41" s="595"/>
      <c r="HS41" s="595"/>
      <c r="HT41" s="595"/>
      <c r="HU41" s="595"/>
      <c r="HV41" s="595"/>
      <c r="HW41" s="595"/>
      <c r="HX41" s="595"/>
      <c r="HY41" s="595"/>
      <c r="HZ41" s="595"/>
      <c r="IA41" s="595"/>
      <c r="IB41" s="595"/>
      <c r="IC41" s="595"/>
      <c r="ID41" s="595"/>
      <c r="IE41" s="595"/>
      <c r="IF41" s="595"/>
      <c r="IG41" s="595"/>
      <c r="IH41" s="595"/>
      <c r="II41" s="595"/>
      <c r="IJ41" s="595"/>
      <c r="IK41" s="595"/>
      <c r="IL41" s="595"/>
      <c r="IM41" s="595"/>
      <c r="IN41" s="595"/>
      <c r="IO41" s="595"/>
      <c r="IP41" s="595"/>
      <c r="IQ41" s="595"/>
      <c r="IR41" s="595"/>
      <c r="IS41" s="595"/>
      <c r="IT41" s="595"/>
      <c r="IU41" s="595"/>
      <c r="IV41" s="595"/>
      <c r="IW41" s="595"/>
      <c r="IX41" s="595"/>
      <c r="IY41" s="595"/>
      <c r="IZ41" s="595"/>
      <c r="JA41" s="595"/>
      <c r="JB41" s="595"/>
      <c r="JC41" s="595"/>
      <c r="JD41" s="595"/>
      <c r="JE41" s="595"/>
      <c r="JF41" s="595"/>
      <c r="JG41" s="595"/>
      <c r="JH41" s="595"/>
      <c r="JI41" s="595"/>
      <c r="JJ41" s="595"/>
      <c r="JK41" s="595"/>
      <c r="JL41" s="595"/>
      <c r="JM41" s="595"/>
      <c r="JN41" s="595"/>
      <c r="JO41" s="595"/>
      <c r="JP41" s="595"/>
      <c r="JQ41" s="595"/>
      <c r="JR41" s="595"/>
      <c r="JS41" s="595"/>
      <c r="JT41" s="595"/>
      <c r="JU41" s="595"/>
      <c r="JV41" s="595"/>
      <c r="JW41" s="595"/>
      <c r="JX41" s="595"/>
      <c r="JY41" s="595"/>
      <c r="JZ41" s="595"/>
      <c r="KA41" s="595"/>
      <c r="KB41" s="595"/>
      <c r="KC41" s="595"/>
      <c r="KD41" s="595"/>
      <c r="KE41" s="595"/>
      <c r="KF41" s="595"/>
      <c r="KG41" s="595"/>
      <c r="KH41" s="595"/>
      <c r="KI41" s="595"/>
      <c r="KJ41" s="595"/>
      <c r="KK41" s="595"/>
      <c r="KL41" s="595"/>
      <c r="KM41" s="595"/>
      <c r="KN41" s="595"/>
      <c r="KO41" s="595"/>
      <c r="KP41" s="595"/>
      <c r="KQ41" s="595"/>
      <c r="KR41" s="595"/>
      <c r="KS41" s="595"/>
      <c r="KT41" s="595"/>
      <c r="KU41" s="595"/>
      <c r="KV41" s="595"/>
      <c r="KW41" s="595"/>
      <c r="KX41" s="595"/>
      <c r="KY41" s="595"/>
      <c r="KZ41" s="595"/>
      <c r="LA41" s="595"/>
      <c r="LB41" s="595"/>
      <c r="LC41" s="595"/>
      <c r="LD41" s="595"/>
      <c r="LE41" s="595"/>
      <c r="LF41" s="595"/>
      <c r="LG41" s="595"/>
      <c r="LH41" s="595"/>
      <c r="LI41" s="595"/>
      <c r="LJ41" s="595"/>
      <c r="LK41" s="595"/>
      <c r="LL41" s="595"/>
      <c r="LM41" s="595"/>
      <c r="LN41" s="595"/>
      <c r="LO41" s="595"/>
      <c r="LP41" s="595"/>
      <c r="LQ41" s="595"/>
      <c r="LR41" s="595"/>
      <c r="LS41" s="595"/>
      <c r="LT41" s="595"/>
      <c r="LU41" s="595"/>
      <c r="LV41" s="595"/>
      <c r="MC41" s="252" t="s">
        <v>1187</v>
      </c>
      <c r="MD41" s="371"/>
      <c r="ME41" s="372"/>
      <c r="MF41" s="372"/>
      <c r="MG41" s="372"/>
      <c r="MH41" s="372"/>
      <c r="MI41" s="372"/>
      <c r="MJ41" s="372"/>
      <c r="MK41" s="372"/>
      <c r="ML41" s="372"/>
      <c r="MM41" s="372"/>
      <c r="MN41" s="372"/>
      <c r="MO41" s="372"/>
      <c r="MP41" s="372"/>
      <c r="MQ41" s="372"/>
      <c r="MR41" s="372"/>
      <c r="MS41" s="372"/>
      <c r="MT41" s="373"/>
      <c r="NA41" s="424">
        <f t="shared" si="100"/>
        <v>1</v>
      </c>
      <c r="NB41" s="424">
        <f t="shared" si="101"/>
        <v>2</v>
      </c>
      <c r="NC41" s="207">
        <f t="shared" si="102"/>
        <v>7.273056E-2</v>
      </c>
      <c r="ND41" s="208">
        <f>IF(OR($NI41="",$NC41=""),"",IF($NC41=0,0,$NI41/10^9/$NC41))</f>
        <v>3.5933715483560142</v>
      </c>
      <c r="NE41" s="209">
        <f t="shared" si="15"/>
        <v>5.168514832751403E-2</v>
      </c>
      <c r="NF41" s="208">
        <f t="shared" si="16"/>
        <v>7.4524289102132579</v>
      </c>
      <c r="NG41" s="210"/>
      <c r="NH41" s="211">
        <f t="shared" si="104"/>
        <v>79991696</v>
      </c>
      <c r="NI41" s="208">
        <f t="shared" si="17"/>
        <v>261347925</v>
      </c>
      <c r="NJ41" s="212">
        <f t="shared" si="105"/>
        <v>0.46880603706664753</v>
      </c>
      <c r="NK41" s="213">
        <f t="shared" si="106"/>
        <v>0.99986100903613451</v>
      </c>
      <c r="NL41" s="214">
        <f t="shared" si="18"/>
        <v>0.92241539500597391</v>
      </c>
      <c r="NM41" s="208">
        <f t="shared" si="107"/>
        <v>0.50548447558585763</v>
      </c>
      <c r="NN41" s="208">
        <f t="shared" si="19"/>
        <v>1.0998361074079452</v>
      </c>
      <c r="NO41" s="215">
        <f t="shared" si="20"/>
        <v>7.2017540846906942E-4</v>
      </c>
      <c r="NP41" s="216" t="str">
        <f t="shared" si="108"/>
        <v/>
      </c>
      <c r="NQ41" s="215" t="str">
        <f t="shared" si="109"/>
        <v/>
      </c>
      <c r="NR41" s="215" t="str">
        <f t="shared" si="110"/>
        <v/>
      </c>
      <c r="NS41" s="215" t="str">
        <f t="shared" si="21"/>
        <v/>
      </c>
      <c r="NT41" s="215" t="str">
        <f t="shared" si="22"/>
        <v/>
      </c>
      <c r="NU41" s="215">
        <f t="shared" si="23"/>
        <v>2.739051186419247E-2</v>
      </c>
      <c r="NV41" s="215" t="str">
        <f t="shared" si="111"/>
        <v/>
      </c>
      <c r="NW41" s="215" t="str">
        <f t="shared" si="24"/>
        <v/>
      </c>
      <c r="NX41" s="215">
        <f t="shared" si="25"/>
        <v>1.6990694925697925E-2</v>
      </c>
      <c r="NY41" s="215" t="str">
        <f t="shared" si="26"/>
        <v/>
      </c>
      <c r="NZ41" s="215">
        <f t="shared" si="27"/>
        <v>1.5557273862402438E-3</v>
      </c>
      <c r="OA41" s="215">
        <f t="shared" si="28"/>
        <v>0</v>
      </c>
      <c r="OB41" s="215">
        <f t="shared" si="29"/>
        <v>1.181406054749418E-2</v>
      </c>
      <c r="OC41" s="215">
        <f t="shared" si="30"/>
        <v>1.2648271967144896E-3</v>
      </c>
      <c r="OD41" s="215">
        <f t="shared" si="31"/>
        <v>3.5620718981288764E-3</v>
      </c>
      <c r="OE41" s="215" t="str">
        <f t="shared" si="32"/>
        <v/>
      </c>
      <c r="OF41" s="215" t="str">
        <f t="shared" si="33"/>
        <v/>
      </c>
      <c r="OG41" s="215" t="str">
        <f t="shared" si="34"/>
        <v/>
      </c>
      <c r="OH41" s="215">
        <f t="shared" si="35"/>
        <v>9.4324907730627457E-3</v>
      </c>
      <c r="OI41" s="215">
        <f t="shared" si="112"/>
        <v>7.273056E-2</v>
      </c>
      <c r="OJ41" s="218">
        <f t="shared" si="113"/>
        <v>0.1011157254766161</v>
      </c>
      <c r="OK41" s="218">
        <f t="shared" si="114"/>
        <v>9.4156103963498508E-2</v>
      </c>
      <c r="OL41" s="218" t="str">
        <f t="shared" si="115"/>
        <v/>
      </c>
      <c r="OM41" s="218" t="str">
        <f t="shared" si="116"/>
        <v/>
      </c>
      <c r="ON41" s="217">
        <f t="shared" si="36"/>
        <v>0.33622033495571657</v>
      </c>
      <c r="OO41" s="210"/>
      <c r="OP41" s="210"/>
      <c r="OQ41" s="218" t="str">
        <f t="shared" si="117"/>
        <v/>
      </c>
      <c r="OR41" s="218" t="str">
        <f t="shared" si="118"/>
        <v/>
      </c>
      <c r="OS41" s="218">
        <f t="shared" si="37"/>
        <v>0.86727902307683136</v>
      </c>
      <c r="OT41" s="218">
        <f t="shared" si="38"/>
        <v>0.98162721466585601</v>
      </c>
      <c r="OU41" s="209" t="str">
        <f t="shared" si="39"/>
        <v/>
      </c>
      <c r="OV41" s="209" t="str">
        <f t="shared" si="40"/>
        <v/>
      </c>
      <c r="OW41" s="209">
        <f t="shared" si="119"/>
        <v>5.778616144188781E-3</v>
      </c>
      <c r="OX41" s="219" t="str">
        <f t="shared" si="41"/>
        <v/>
      </c>
      <c r="OY41" s="208">
        <f t="shared" si="120"/>
        <v>14656224</v>
      </c>
      <c r="OZ41" s="208">
        <f t="shared" si="42"/>
        <v>2198398</v>
      </c>
      <c r="PA41" s="209">
        <f>IF(OR($OZ41="",$OY41=""),"",IF($OY41=0,0,$OZ41/$OY41))</f>
        <v>0.14999757099782318</v>
      </c>
      <c r="PB41" s="209">
        <f>IF(OR($CQ41="",$OZ41=""),"",IF($OZ41=0,0,
GuardLimitUpper(
  ($OZ41-$CQ41)/$OZ41,
  data_GuardLimitFlag,
  1)
))</f>
        <v>0.30550473572119335</v>
      </c>
      <c r="PC41" s="209" t="str">
        <f t="shared" si="43"/>
        <v/>
      </c>
      <c r="PD41" s="209" t="str">
        <f t="shared" si="44"/>
        <v/>
      </c>
      <c r="PE41" s="208">
        <f t="shared" si="122"/>
        <v>1539972</v>
      </c>
      <c r="PF41" s="209">
        <f t="shared" si="123"/>
        <v>0.10507290281589583</v>
      </c>
      <c r="PG41" s="209">
        <f t="shared" si="45"/>
        <v>7.4833178785068816E-2</v>
      </c>
      <c r="PH41" s="209" t="str">
        <f t="shared" si="46"/>
        <v/>
      </c>
      <c r="PI41" s="209" t="str">
        <f t="shared" si="47"/>
        <v/>
      </c>
      <c r="PJ41" s="220" t="str">
        <f t="shared" si="48"/>
        <v/>
      </c>
      <c r="PK41" s="220" t="str">
        <f t="shared" si="49"/>
        <v/>
      </c>
      <c r="PL41" s="221">
        <f t="shared" si="124"/>
        <v>6689110</v>
      </c>
      <c r="PM41" s="221" t="str">
        <f t="shared" si="50"/>
        <v/>
      </c>
      <c r="PN41" s="221">
        <f t="shared" si="125"/>
        <v>0</v>
      </c>
      <c r="PO41" s="221" t="str">
        <f t="shared" si="51"/>
        <v/>
      </c>
      <c r="PP41" s="221" t="str">
        <f t="shared" si="52"/>
        <v/>
      </c>
      <c r="PQ41" s="529" t="str">
        <f t="shared" si="126"/>
        <v/>
      </c>
      <c r="PR41" s="221" t="str">
        <f t="shared" si="53"/>
        <v/>
      </c>
      <c r="PS41" s="221">
        <f t="shared" si="54"/>
        <v>5587966</v>
      </c>
      <c r="PT41" s="221">
        <f t="shared" si="127"/>
        <v>1886473</v>
      </c>
      <c r="PU41" s="221" t="str">
        <f t="shared" si="55"/>
        <v/>
      </c>
      <c r="PV41" s="221">
        <f t="shared" si="128"/>
        <v>0</v>
      </c>
      <c r="PW41" s="221" t="str">
        <f t="shared" si="56"/>
        <v/>
      </c>
      <c r="PX41" s="221" t="str">
        <f t="shared" si="162"/>
        <v/>
      </c>
      <c r="PY41" s="221">
        <f t="shared" si="57"/>
        <v>492675</v>
      </c>
      <c r="PZ41" s="221" t="str">
        <f t="shared" si="58"/>
        <v/>
      </c>
      <c r="QA41" s="221" t="str">
        <f t="shared" si="59"/>
        <v/>
      </c>
      <c r="QB41" s="221" t="str">
        <f t="shared" si="60"/>
        <v/>
      </c>
      <c r="QC41" s="221" t="str">
        <f t="shared" si="61"/>
        <v/>
      </c>
      <c r="QD41" s="221">
        <f t="shared" si="129"/>
        <v>14530691</v>
      </c>
      <c r="QE41" s="221">
        <f t="shared" si="130"/>
        <v>9704856</v>
      </c>
      <c r="QF41" s="221">
        <f t="shared" si="131"/>
        <v>771402</v>
      </c>
      <c r="QG41" s="222" t="str">
        <f t="shared" si="62"/>
        <v/>
      </c>
      <c r="QH41" s="222" t="str">
        <f t="shared" si="63"/>
        <v/>
      </c>
      <c r="QI41" s="222" t="str">
        <f t="shared" si="64"/>
        <v/>
      </c>
      <c r="QJ41" s="222" t="str">
        <f t="shared" si="65"/>
        <v/>
      </c>
      <c r="QK41" s="222" t="str">
        <f t="shared" si="66"/>
        <v/>
      </c>
      <c r="QL41" s="222" t="str">
        <f t="shared" si="132"/>
        <v/>
      </c>
      <c r="QM41" s="222">
        <f>IF(OR($O$8="Lv2",$O$8="Lv3",$O$8="Lv4"),IF(OR($AS41="",COUNT($PL41:$QL41)=0),"",
GuardLimitLower(
  $AS41-SUM($PL41:$QL41),
  data_GuardLimitFlag,
  0)
),"")</f>
        <v>40328523</v>
      </c>
      <c r="QN41" s="222">
        <f t="shared" si="133"/>
        <v>79991696</v>
      </c>
      <c r="QO41" s="222" t="str">
        <f t="shared" si="134"/>
        <v/>
      </c>
      <c r="QP41" s="222" t="str">
        <f t="shared" si="135"/>
        <v/>
      </c>
      <c r="QQ41" s="222" t="str">
        <f t="shared" si="136"/>
        <v/>
      </c>
      <c r="QR41" s="222">
        <f t="shared" si="67"/>
        <v>3.3145812361800413</v>
      </c>
      <c r="QS41" s="209" t="str">
        <f t="shared" si="68"/>
        <v/>
      </c>
      <c r="QT41" s="209" t="str">
        <f t="shared" si="69"/>
        <v/>
      </c>
      <c r="QU41" s="209" t="str">
        <f t="shared" si="70"/>
        <v/>
      </c>
      <c r="QV41" s="208" t="str">
        <f t="shared" si="71"/>
        <v/>
      </c>
      <c r="QW41" s="208" t="str">
        <f t="shared" si="72"/>
        <v/>
      </c>
      <c r="QX41" s="208" t="str">
        <f t="shared" si="73"/>
        <v/>
      </c>
      <c r="QY41" s="208" t="str">
        <f t="shared" si="74"/>
        <v/>
      </c>
      <c r="QZ41" s="208" t="str">
        <f t="shared" si="75"/>
        <v/>
      </c>
      <c r="RA41" s="209" t="str">
        <f t="shared" si="137"/>
        <v/>
      </c>
      <c r="RB41" s="209" t="str">
        <f t="shared" si="76"/>
        <v/>
      </c>
      <c r="RC41" s="209" t="str">
        <f t="shared" si="77"/>
        <v/>
      </c>
      <c r="RD41" s="209" t="str">
        <f t="shared" si="78"/>
        <v/>
      </c>
      <c r="RE41" s="209" t="str">
        <f t="shared" si="79"/>
        <v/>
      </c>
      <c r="RF41" s="209" t="str">
        <f t="shared" si="80"/>
        <v/>
      </c>
      <c r="RG41" s="209" t="str">
        <f t="shared" si="81"/>
        <v/>
      </c>
      <c r="RH41" s="209" t="str">
        <f t="shared" si="82"/>
        <v/>
      </c>
      <c r="RI41" s="209" t="str">
        <f t="shared" si="83"/>
        <v/>
      </c>
      <c r="RJ41" s="134"/>
      <c r="RK41" s="134"/>
      <c r="RL41" s="134"/>
      <c r="RM41" s="134"/>
      <c r="RN41" s="134"/>
      <c r="RO41" s="134"/>
      <c r="RP41" s="134"/>
      <c r="RQ41" s="134"/>
      <c r="RR41" s="222" t="str">
        <f t="shared" si="84"/>
        <v/>
      </c>
      <c r="RS41" s="224"/>
      <c r="RT41" s="224"/>
      <c r="RU41" s="208">
        <f t="shared" si="138"/>
        <v>7.273056E-2</v>
      </c>
      <c r="RV41" s="208">
        <f t="shared" si="139"/>
        <v>1</v>
      </c>
      <c r="RW41" s="208">
        <f t="shared" si="140"/>
        <v>0.99629926730886798</v>
      </c>
      <c r="RX41" s="208">
        <f t="shared" si="141"/>
        <v>1.0009404187926234</v>
      </c>
      <c r="RY41" s="208">
        <f t="shared" si="142"/>
        <v>0.95824509975766958</v>
      </c>
      <c r="RZ41" s="208">
        <f t="shared" si="85"/>
        <v>0.99805198287326757</v>
      </c>
      <c r="SA41" s="208" t="str">
        <f t="shared" si="86"/>
        <v/>
      </c>
      <c r="SB41" s="208" t="str">
        <f t="shared" si="87"/>
        <v/>
      </c>
      <c r="SC41" s="208" t="str">
        <f t="shared" si="88"/>
        <v/>
      </c>
      <c r="SD41" s="208" t="str">
        <f t="shared" si="89"/>
        <v/>
      </c>
      <c r="SE41" s="208" t="str">
        <f t="shared" si="90"/>
        <v/>
      </c>
      <c r="SF41" s="208" t="str">
        <f t="shared" si="91"/>
        <v/>
      </c>
      <c r="SG41" s="208" t="str">
        <f t="shared" si="92"/>
        <v/>
      </c>
      <c r="SH41" s="208" t="str">
        <f t="shared" si="93"/>
        <v/>
      </c>
      <c r="SI41" s="208" t="str">
        <f t="shared" si="94"/>
        <v/>
      </c>
      <c r="SJ41" s="208" t="str">
        <f t="shared" si="95"/>
        <v/>
      </c>
      <c r="SK41" s="208" t="str">
        <f t="shared" si="96"/>
        <v/>
      </c>
      <c r="SL41" s="208" t="str">
        <f t="shared" si="97"/>
        <v/>
      </c>
      <c r="SM41" s="222">
        <f t="shared" si="143"/>
        <v>3</v>
      </c>
      <c r="SN41" s="225">
        <f t="shared" si="98"/>
        <v>2.4243520000000001E-2</v>
      </c>
      <c r="SO41" s="209">
        <f>IF(OR($OI41="",$OC41="",COUNT($OI$30:$OI$41)=0),"",IF(MAX($OI$30:$OI$41)=0,0,($OI41-$OC41)/MAX($OI$30:$OI$41)))</f>
        <v>0.97561263453917968</v>
      </c>
      <c r="SP41" s="209">
        <f>IF(OR($NH41="",COUNT($NH$30:$NH$41)=0),"",IF(MAX($NH$30:$NH$41)=0,0,$NH41/MAX($NH$30:$NH$41)))</f>
        <v>0.99668848270447596</v>
      </c>
      <c r="SQ41" s="222">
        <f t="shared" si="146"/>
        <v>158247582</v>
      </c>
      <c r="SR41" s="222">
        <f t="shared" si="147"/>
        <v>157661950</v>
      </c>
      <c r="SS41" s="222">
        <f t="shared" si="148"/>
        <v>158396401</v>
      </c>
      <c r="ST41" s="222">
        <f t="shared" si="149"/>
        <v>151639970</v>
      </c>
      <c r="SU41" s="222">
        <f t="shared" si="150"/>
        <v>157939313</v>
      </c>
      <c r="SV41" s="222" t="str">
        <f t="shared" si="151"/>
        <v/>
      </c>
      <c r="SW41" s="222" t="str">
        <f t="shared" si="152"/>
        <v/>
      </c>
      <c r="SX41" s="222" t="str">
        <f t="shared" si="153"/>
        <v/>
      </c>
      <c r="SY41" s="222" t="str">
        <f t="shared" si="154"/>
        <v/>
      </c>
      <c r="SZ41" s="222" t="str">
        <f t="shared" si="155"/>
        <v/>
      </c>
      <c r="TA41" s="222" t="str">
        <f t="shared" si="156"/>
        <v/>
      </c>
      <c r="TB41" s="222" t="str">
        <f t="shared" si="157"/>
        <v/>
      </c>
      <c r="TC41" s="222" t="str">
        <f t="shared" si="99"/>
        <v/>
      </c>
      <c r="TD41" s="222" t="str">
        <f t="shared" si="158"/>
        <v/>
      </c>
      <c r="TE41" s="222" t="str">
        <f t="shared" si="159"/>
        <v/>
      </c>
      <c r="TF41" s="222" t="str">
        <f t="shared" si="160"/>
        <v/>
      </c>
      <c r="TG41" s="222" t="str">
        <f t="shared" si="161"/>
        <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1 total</v>
      </c>
      <c r="NC42" s="226">
        <f>IF(COUNT(NC30:NC41)=0,"",AVERAGE(NC30:NC41))</f>
        <v>7.2791519999999998E-2</v>
      </c>
      <c r="ND42" s="226">
        <f>IF(OR(COUNT(NI30:NI41)=0,,$NC$42=""),"",IF($NC$42=0,0,SUM(NI30:NI41)/10^9/$NC$42))</f>
        <v>43.543372359857301</v>
      </c>
      <c r="NE42" s="227">
        <f>IF(COUNT(NE30:NE41)=0,"",AVERAGE(NE30:NE41))</f>
        <v>5.2193531822290001E-2</v>
      </c>
      <c r="NF42" s="226">
        <f>IF(OR(COUNT($AO30:$AO41)=0,COUNT($AQ30:$AQ41)=0,COUNT($AR30:$AR41)=0,COUNT($AP30:$AP41)=0,$C$7="",$NC$42=""),"",IF($NC$42=0,0,(SUM($AO30:$AO41)-SUM($AQ30:$AQ41)-SUM($AR30:$AR41)+SUM($AP30:$AP41))*$C$7/$NC$42/10^9))</f>
        <v>90.426972812217684</v>
      </c>
      <c r="NG42" s="227">
        <f>IF(NF$42="","",NF$42/256)</f>
        <v>0.35323036254772533</v>
      </c>
      <c r="NH42" s="226">
        <f>IF(COUNT(NH30:NH41)=0,"",SUM(NH30:NH41))</f>
        <v>952885593</v>
      </c>
      <c r="NI42" s="226">
        <f>IF(COUNT(NI30:NI41)=0,"",SUM(NI30:NI41))</f>
        <v>3169588260</v>
      </c>
      <c r="NJ42" s="228">
        <f>IF(OR(COUNT($AT30:$AT41)=0,COUNT($AS30:$AS41)=0),"",IF(SUM($AS30:$AS41)=0,0,SUM($AT30:$AT41)/SUM($AS30:$AS41)))</f>
        <v>0.47727933693294911</v>
      </c>
      <c r="NK42" s="229">
        <f>IF(OR(COUNT($AM30:$AM41)=0,$C$11="",COUNT($AN30:$AN41)=""),"",IF(SUM($AM30:$AM41)*$C$11+SUM($AN30:$AN41)=0,0,SUM($AM30:$AM41)*$C$11/(SUM($AM30:$AM41)*$C$11+SUM($AN30:$AN41))))</f>
        <v>0.99986139146035324</v>
      </c>
      <c r="NL42" s="229">
        <f>IF(OR(COUNT($CB30:$CB41)=0,COUNT($CD30:$CD41)=0,COUNT($CA30:$CA41)=0,COUNT($CC30:$CC41)=0),"",IF(SUM($CA30:$CA41)+SUM($CC30:$CC41)=0,0,
GuardLimitUpper(
  (SUM($CB30:$CB41)+SUM($CD30:$CD41))/((SUM($CA30:$CA41)+SUM($CC30:$CC41))*16),
  data_GuardLimitFlag,
  1)
))</f>
        <v>0.92240587605806523</v>
      </c>
      <c r="NM42" s="226">
        <f>IF(COUNT(NM30:NM41)=0,"",AVERAGE(NM30:NM41))</f>
        <v>0.50242284959596117</v>
      </c>
      <c r="NN42" s="226">
        <f>IF(OR(COUNT($AS30:$AS41)=0,$NC$42=""),"",IF($NC$42=0,0,SUM($AS30:$AS41)/10^9/$NC$42))</f>
        <v>13.090612656529222</v>
      </c>
      <c r="NO42" s="215">
        <f>IF(COUNT(NO30:NO41)=0,"",AVERAGE(NO30:NO41))</f>
        <v>6.8790055816951329E-4</v>
      </c>
      <c r="NP42" s="215" t="str">
        <f>IF(COUNT(NP30:NP41)=0,"",AVERAGE(NP30:NP41))</f>
        <v/>
      </c>
      <c r="NQ42" s="215" t="str">
        <f>IF(COUNT(NQ30:NQ41)=0,"",AVERAGE(NQ30:NQ41))</f>
        <v/>
      </c>
      <c r="NR42" s="215" t="str">
        <f t="shared" ref="NR42:OD42" si="163">IF(COUNT(NR30:NR41)=0,"",AVERAGE(NR30:NR41))</f>
        <v/>
      </c>
      <c r="NS42" s="215" t="str">
        <f t="shared" si="163"/>
        <v/>
      </c>
      <c r="NT42" s="215" t="str">
        <f>IF(COUNT(NT30:NT41)=0,"",AVERAGE(NT30:NT41))</f>
        <v/>
      </c>
      <c r="NU42" s="215">
        <f t="shared" si="163"/>
        <v>2.7604074442268856E-2</v>
      </c>
      <c r="NV42" s="215" t="str">
        <f t="shared" si="163"/>
        <v/>
      </c>
      <c r="NW42" s="215" t="str">
        <f>IF(COUNT(NW30:NW41)=0,"",AVERAGE(NW30:NW41))</f>
        <v/>
      </c>
      <c r="NX42" s="215">
        <f t="shared" si="163"/>
        <v>1.721291124111585E-2</v>
      </c>
      <c r="NY42" s="215" t="str">
        <f>IF(COUNT(NY30:NY41)=0,"",AVERAGE(NY30:NY41))</f>
        <v/>
      </c>
      <c r="NZ42" s="215">
        <f>IF(COUNT(NZ30:NZ41)=0,"",AVERAGE(NZ30:NZ41))</f>
        <v>1.4177994841781062E-3</v>
      </c>
      <c r="OA42" s="215">
        <f>IF(COUNT(OA30:OA41)=0,"",AVERAGE(OA30:OA41))</f>
        <v>0</v>
      </c>
      <c r="OB42" s="215">
        <f>IF(COUNT(OB30:OB41)=0,"",AVERAGE(OB30:OB41))</f>
        <v>1.1902807002082537E-2</v>
      </c>
      <c r="OC42" s="215">
        <f>IF(COUNT(OC30:OC41)=0,"",AVERAGE(OC30:OC41))</f>
        <v>1.1568325683864579E-3</v>
      </c>
      <c r="OD42" s="215">
        <f t="shared" si="163"/>
        <v>3.4416565078851692E-3</v>
      </c>
      <c r="OE42" s="215" t="str">
        <f>IF(COUNT(OE30:OE41)=0,"",AVERAGE(OE30:OE41))</f>
        <v/>
      </c>
      <c r="OF42" s="215" t="str">
        <f>IF(COUNT(OF30:OF41)=0,"",AVERAGE(OF30:OF41))</f>
        <v/>
      </c>
      <c r="OG42" s="215" t="str">
        <f>IF(COUNT(OG30:OG41)=0,"",AVERAGE(OG30:OG41))</f>
        <v/>
      </c>
      <c r="OH42" s="215">
        <f>IF(COUNT(OH30:OH41)=0,"",AVERAGE(OH30:OH41))</f>
        <v>9.3675381959135058E-3</v>
      </c>
      <c r="OI42" s="215">
        <f>IF(COUNT(OI30:OI41)=0,"",AVERAGE(OI30:OI41))</f>
        <v>7.2791519999999998E-2</v>
      </c>
      <c r="OJ42" s="227">
        <f>IF(OR(COUNT($CA30:$CA41)=0,COUNT($BV30:$BV41)=0),"",IF(SUM($BV30:$BV41)=0,0,SUM($CA30:$CA41)/SUM($BV30:$BV41)))</f>
        <v>0.10214920467726897</v>
      </c>
      <c r="OK42" s="227">
        <f>IF(OR(COUNT($CC30:$CC41)=0,COUNT($BV30:$BV41)=0),"",IF(SUM($BV30:$BV41)=0,0,SUM($CC30:$CC41)/SUM($BV30:$BV41)))</f>
        <v>9.5180422619444982E-2</v>
      </c>
      <c r="OL42" s="227" t="str">
        <f>IF(OR(COUNT($FO30:$FO41)=0,COUNT($FH30:$FH41)=0),"",IF(SUM($FH30:$FH41)=0,0,SUM($FO30:$FO41)/SUM($FH30:$FH41)))</f>
        <v/>
      </c>
      <c r="OM42" s="227" t="str">
        <f>IF(OR(COUNT($FP30:$FP41)=0,COUNT($FH30:$FH41)=0),"",IF(SUM($FH30:$FH41)=0,0,SUM($FP30:$FP41)/SUM($FH30:$FH41)))</f>
        <v/>
      </c>
      <c r="ON42" s="230">
        <f>IF(OR(COUNT($BW30:$BW41)=0,COUNT($BX30:$BX41)=0,COUNT($BV30:$BV41)=0),"",IF(SUM($BV30:$BV41)=0,0,(SUM($BW30:$BW41)+SUM($BX30:$BX41))/2/SUM($BV30:$BV41)))</f>
        <v>0.33500011986978301</v>
      </c>
      <c r="OO42" s="218">
        <f>IF(OR(COUNT($BY$30:$BY$41)=0,COUNT($BV$30:$BV$41)=0),"",IF(SUM($BV$30:$BV$41)=0,0,SUM($BY$30:$BY$41)/2/SUM($BV$30:$BV$41)))</f>
        <v>0.3744233001526292</v>
      </c>
      <c r="OP42" s="218">
        <f>IF($OK$25="","",IF(NG42="","",NG$42))</f>
        <v>0.35323036254772533</v>
      </c>
      <c r="OQ42" s="227" t="str">
        <f>IF(OR(COUNT($FM30:$FM41)=0,COUNT($FH30:$FH41)=0),"",IF(SUM($FH30:$FH41)=0,0,SUM($FM30:$FM41)/SUM($FH30:$FH41)))</f>
        <v/>
      </c>
      <c r="OR42" s="227" t="str">
        <f>IF(OR(COUNT($FN30:$FN41)=0,COUNT($FH30:$FH41)=0),"",IF(SUM($FH30:$FH41)=0,0,SUM($FN30:$FN41)/SUM($FH30:$FH41)))</f>
        <v/>
      </c>
      <c r="OS42" s="227">
        <f>IF(OR(COUNT(CB30:CB41)=0,COUNT(CA30:CA41)=0),"",IF(SUM($CA30:$CA41)=0,0,
GuardLimitUpper(
  SUM($CB30:$CB41)/(SUM($CA30:$CA41)*16),
  data_GuardLimitFlag,
  1)
))</f>
        <v>0.867228242677206</v>
      </c>
      <c r="OT42" s="227">
        <f>IF(OR(COUNT(CD30:CD41)=0,COUNT(CC30:CC41)=0),"",IF(SUM($CC30:$CC41)=0,0,
GuardLimitUpper(
  SUM($CD30:$CD41)/(SUM($CC30:$CC41)*16),
  data_GuardLimitFlag,
  1)
))</f>
        <v>0.98162342532619817</v>
      </c>
      <c r="OU42" s="227" t="str">
        <f>IF(COUNT(OU30:OU41)=0,"",AVERAGE(OU30:OU41))</f>
        <v/>
      </c>
      <c r="OV42" s="227" t="str">
        <f>IF(COUNT(OV30:OV41)=0,"",AVERAGE(OV30:OV41))</f>
        <v/>
      </c>
      <c r="OW42" s="227">
        <f>IF(OR(COUNT($BZ30:$BZ41)=0,COUNT($BV30:$BV41)=0),"",IF(SUM($BV30:$BV41)=0,0,SUM($BZ30:$BZ41)/SUM($BV30:$BV41)))</f>
        <v>5.8716998093004437E-3</v>
      </c>
      <c r="OX42" s="227" t="str">
        <f>IF(OR(COUNT($GG30:$GG41)=0,COUNT($AS30:$AS41)=0),"",IF(SUM($AS30:$AS41)=0,0,SUM($GG30:$GG41)/SUM($AS30:$AS41)))</f>
        <v/>
      </c>
      <c r="OY42" s="226">
        <f>IF(COUNT(OY30:OY41)=0,"",SUM(OY30:OY41))</f>
        <v>174672591</v>
      </c>
      <c r="OZ42" s="226">
        <f>IF(COUNT(OZ30:OZ41)=0,"",SUM(OZ30:OZ41))</f>
        <v>27035534</v>
      </c>
      <c r="PA42" s="227">
        <f>IF(OR($OZ$42="",$OY$42=""),"",IF($OY$42=0,0,$OZ$42/$OY$42))</f>
        <v>0.15477834184070699</v>
      </c>
      <c r="PB42" s="209">
        <f>IF(OR(COUNT($OZ30:$OZ41)=0,COUNT($CQ30:$CQ41)=0,$OZ$42=""),"",IF($OZ$42=0,0,
GuardLimitUpper(
  (SUM($OZ30:$OZ41)-SUM($CQ30:$CQ41))/$OZ$42,
  data_GuardLimitFlag,
  1)
))</f>
        <v>0.31252092153977801</v>
      </c>
      <c r="PC42" s="209" t="str">
        <f>IF(OR(COUNT($GB30:$GB41)=0,$OZ$42=""),"",IF($OZ$42=0,0,
GuardLimitUpper(
  SUM($GB30:$GB41)/$OZ$42,
  data_GuardLimitFlag,
  1)
))</f>
        <v/>
      </c>
      <c r="PD42" s="209" t="str">
        <f>IF(OR(COUNT($CQ30:$CQ41)=0,COUNT($GB30:$GB41)=0,$OZ$42=""),"",IF($OZ$42=0,0,
GuardLimitUpper(
  (SUM($CQ30:$CQ41)-SUM($GB30:$GB41))/$OZ$42,
  data_GuardLimitFlag,
  1)
))</f>
        <v/>
      </c>
      <c r="PE42" s="226">
        <f>IF(COUNT(PE30:PE41)=0,"",SUM(PE30:PE41))</f>
        <v>18628182</v>
      </c>
      <c r="PF42" s="227">
        <f>IF(OR($PE$42="",$OY$42=""),"",IF($OY$42=0,0,$PE$42/$OY$42))</f>
        <v>0.10664627972456193</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7.2934438798160764E-2</v>
      </c>
      <c r="PH42" s="209" t="str">
        <f>IF(OR(COUNT($GD30:$GD41)=0,COUNT($CS30:$CS41)=0,COUNT($CO30:$CO41)=0,COUNT($GC30:$GC41)=0,COUNT($GH30:$GH41)=0),"",IF(SUM($CS30:$CS41)-SUM($CO30:$CO41)+SUM($GC30:$GC41)-SUM($GH30:$GH41)=0,0,
GuardLimitUpper(
  SUM($GD30:$GD41)/(SUM($CS30:$CS41)-SUM($CO30:$CO41)+SUM($GC30:$GC41)-SUM($GH30:$GH41)),
  data_GuardLimitFlag,
  1)
))</f>
        <v/>
      </c>
      <c r="PI42" s="209" t="str">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
      </c>
      <c r="PJ42" s="231" t="str">
        <f>IF(OR(COUNT($GE30:$GE41)=0,$OY$42=""),"",IF($OY$42=0,0,SUM($GE30:$GE41)/$OY$42))</f>
        <v/>
      </c>
      <c r="PK42" s="231" t="str">
        <f>IF(OR(COUNT($GF30:$GF41)=0,$OY$42=""),"",IF($OY$42=0,0,SUM($GF30:$GF41)/$OY$42))</f>
        <v/>
      </c>
      <c r="PL42" s="226">
        <f>IF(COUNT(PL30:PL41)=0,"",SUM(PL30:PL41))</f>
        <v>81115756</v>
      </c>
      <c r="PM42" s="226" t="str">
        <f>IF(COUNT(PM30:PM41)=0,"",SUM(PM30:PM41))</f>
        <v/>
      </c>
      <c r="PN42" s="226">
        <f>IF(COUNT(PN30:PN41)=0,"",SUM(PN30:PN41))</f>
        <v>0</v>
      </c>
      <c r="PO42" s="226" t="str">
        <f t="shared" ref="PO42:QL42" si="164">IF(COUNT(PO30:PO41)=0,"",SUM(PO30:PO41))</f>
        <v/>
      </c>
      <c r="PP42" s="226" t="str">
        <f>IF(COUNT(PP30:PP41)=0,"",SUM(PP30:PP41))</f>
        <v/>
      </c>
      <c r="PQ42" s="226" t="str">
        <f>IF(COUNT(PQ30:PQ41)=0,"",SUM(PQ30:PQ41))</f>
        <v/>
      </c>
      <c r="PR42" s="226" t="str">
        <f t="shared" si="164"/>
        <v/>
      </c>
      <c r="PS42" s="226">
        <f>IF(COUNT(PS30:PS41)=0,"",SUM(PS30:PS41))</f>
        <v>64901304</v>
      </c>
      <c r="PT42" s="226">
        <f>IF(COUNT(PT30:PT41)=0,"",SUM(PT30:PT41))</f>
        <v>22876524</v>
      </c>
      <c r="PU42" s="226" t="str">
        <f t="shared" si="164"/>
        <v/>
      </c>
      <c r="PV42" s="226">
        <f>IF(COUNT(PV30:PV41)=0,"",SUM(PV30:PV41))</f>
        <v>0</v>
      </c>
      <c r="PW42" s="226" t="str">
        <f>IF(COUNT(PW30:PW41)=0,"",SUM(PW30:PW41))</f>
        <v/>
      </c>
      <c r="PX42" s="226" t="str">
        <f>IF(COUNT(PX30:PX41)=0,"",SUM(PX30:PX41))</f>
        <v/>
      </c>
      <c r="PY42" s="226">
        <f>IF(COUNT(PY30:PY41)=0,"",SUM(PY30:PY41))</f>
        <v>5779007</v>
      </c>
      <c r="PZ42" s="226" t="str">
        <f>IF(COUNT(PZ30:PZ41)=0,"",SUM(PZ30:PZ41))</f>
        <v/>
      </c>
      <c r="QA42" s="226" t="str">
        <f t="shared" si="164"/>
        <v/>
      </c>
      <c r="QB42" s="226" t="str">
        <f>IF(COUNT(QB30:QB41)=0,"",SUM(QB30:QB41))</f>
        <v/>
      </c>
      <c r="QC42" s="226" t="str">
        <f t="shared" si="164"/>
        <v/>
      </c>
      <c r="QD42" s="226">
        <f t="shared" si="164"/>
        <v>176226340</v>
      </c>
      <c r="QE42" s="226">
        <f t="shared" si="164"/>
        <v>117698560</v>
      </c>
      <c r="QF42" s="226">
        <f>IF(COUNT(QF30:QF41)=0,"",SUM(QF30:QF41))</f>
        <v>9356288</v>
      </c>
      <c r="QG42" s="226" t="str">
        <f t="shared" si="164"/>
        <v/>
      </c>
      <c r="QH42" s="226" t="str">
        <f>IF(COUNT(QH30:QH41)=0,"",SUM(QH30:QH41))</f>
        <v/>
      </c>
      <c r="QI42" s="226" t="str">
        <f t="shared" si="164"/>
        <v/>
      </c>
      <c r="QJ42" s="226" t="str">
        <f t="shared" si="164"/>
        <v/>
      </c>
      <c r="QK42" s="226" t="str">
        <f t="shared" si="164"/>
        <v/>
      </c>
      <c r="QL42" s="226" t="str">
        <f t="shared" si="164"/>
        <v/>
      </c>
      <c r="QM42" s="226">
        <f>IF(COUNT(QM30:QM41)=0,"",SUM(QM30:QM41))</f>
        <v>474931814</v>
      </c>
      <c r="QN42" s="226">
        <f>IF(COUNT(QN30:QN41)=0,"",SUM(QN30:QN41))</f>
        <v>952885593</v>
      </c>
      <c r="QO42" s="226" t="str">
        <f>IF(OR(COUNT($EU30:$EU41)=0,$C$11="",COUNT($EW30:$EW41)=0,COUNT($AM30:$AM41)=0,COUNT($AN30:$AN41)=0),"",
    SUM($EU30:$EU41)*$C$11+SUM($EW30:$EW41))</f>
        <v/>
      </c>
      <c r="QP42" s="226" t="str">
        <f>IF(OR(COUNT($EV30:$EV41)=0,$C$11="",COUNT($EX30:$EX41)=0,COUNT($AM30:$AM41)=0,COUNT($AN30:$AN41)=0),"", SUM($EV30:$EV41)*$C$11+SUM($EX30:$EX41))</f>
        <v/>
      </c>
      <c r="QQ42" s="226" t="str">
        <f>IF(OR(COUNT($AM30:$AM41)=0,COUNT($EV30:$EV41)=0,COUNT($EU30:$EU41)=0,$C$11="",COUNT($AN30:$AN41)=0,COUNT($EX30:$EX41)=0,COUNT($EW30:$EW41)=0),"", (SUM($AM30:$AM41)-SUM($EV30:$EV41)-SUM($EU30:$EU41))*$C$11+(SUM($AN30:$AN41)-SUM($EX30:$EX41)-SUM($EW30:$EW41))
     )</f>
        <v/>
      </c>
      <c r="QR42" s="226">
        <f>IF(OR(COUNT($AM30:$AM41)=0,$C$11="",COUNT($AN30:$AN41)=0,COUNT($CB30:$CB41)=0,COUNT($CD30:$CD41)=0,COUNT($CA30:$CA41)=0,COUNT($CC30:$CC41)=0,$NC$42=""),"",
   IF(OR(SUM($CA30:$CA41)+SUM($CC30:$CC41)=0,$NC$42=0),0,
     (SUM($AM30:$AM41)*$C$11+SUM($AN30:$AN41))*
GuardLimitUpper(
  (SUM($CB30:$CB41)+SUM($CD30:$CD41))/((SUM($CA30:$CA41)+SUM($CC30:$CC41))*$C$17),
  data_GuardLimitFlag,
  1)
/10^9/$NC$42 ))</f>
        <v>40.164662528116722</v>
      </c>
      <c r="QS42" s="227" t="str">
        <f>IF(COUNT(QS30:QS41)=0,"",AVERAGE(QS30:QS41))</f>
        <v/>
      </c>
      <c r="QT42" s="227" t="str">
        <f>IF(COUNT(QT30:QT41)=0,"",AVERAGE(QT30:QT41))</f>
        <v/>
      </c>
      <c r="QU42" s="227" t="str">
        <f>IF(COUNT(QU30:QU41)=0,"",AVERAGE(QU30:QU41))</f>
        <v/>
      </c>
      <c r="QV42" s="226" t="str">
        <f>IF(COUNT(QV30:QV41)=0,"",SUM(QV30:QV41))</f>
        <v/>
      </c>
      <c r="QW42" s="226" t="str">
        <f>IF(COUNT(QW30:QW41)=0,"",SUM(QW30:QW41))</f>
        <v/>
      </c>
      <c r="QX42" s="226" t="str">
        <f>IF(COUNT(QX30:QX41)=0,"",SUM(QX30:QX41))</f>
        <v/>
      </c>
      <c r="QY42" s="226" t="str">
        <f>IF(COUNT(QY30:QY41)=0,"",SUM(QY30:QY41))</f>
        <v/>
      </c>
      <c r="QZ42" s="226" t="str">
        <f>IF(COUNT(QZ30:QZ41)=0,"",SUM(QZ30:QZ41))</f>
        <v/>
      </c>
      <c r="RA42" s="227" t="str">
        <f>IF(COUNT(RA30:RA41)=0,"",AVERAGE(RA30:RA41))</f>
        <v/>
      </c>
      <c r="RB42" s="227" t="str">
        <f>IF(COUNT(RB30:RB41)=0,"",AVERAGE(RB30:RB41))</f>
        <v/>
      </c>
      <c r="RC42" s="209" t="str">
        <f>IF(COUNT(RC30:RC41)=0,"",AVERAGE(RC30:RC41))</f>
        <v/>
      </c>
      <c r="RD42" s="209" t="str">
        <f t="shared" ref="RD42:RI42" si="165">IF(COUNT(RD30:RD41)=0,"",AVERAGE(RD30:RD41))</f>
        <v/>
      </c>
      <c r="RE42" s="209" t="str">
        <f t="shared" si="165"/>
        <v/>
      </c>
      <c r="RF42" s="209" t="str">
        <f t="shared" si="165"/>
        <v/>
      </c>
      <c r="RG42" s="209" t="str">
        <f t="shared" si="165"/>
        <v/>
      </c>
      <c r="RH42" s="209" t="str">
        <f t="shared" si="165"/>
        <v/>
      </c>
      <c r="RI42" s="209" t="str">
        <f t="shared" si="165"/>
        <v/>
      </c>
      <c r="RJ42" s="134"/>
      <c r="RK42" s="134"/>
      <c r="RL42" s="134"/>
      <c r="RM42" s="134"/>
      <c r="RN42" s="134"/>
      <c r="RO42" s="134"/>
      <c r="RP42" s="134"/>
      <c r="RQ42" s="134"/>
      <c r="RR42" s="222" t="str">
        <f>IF(COUNT(RR30:RR41)=0,"",SUM(RR30:RR41))</f>
        <v/>
      </c>
      <c r="RS42" s="222" t="str">
        <f>IF(OR(COUNT($FK30:$FK41)=0,$NC$42=""),"",IF($NC$42=0,0,AVERAGE($FK30:$FK41)*32/10^9/$NC$42))</f>
        <v/>
      </c>
      <c r="RT42" s="222" t="str">
        <f>IF(OR(COUNT($FL30:$FL41)=0,$NC$42=""),"",IF($NC$42=0,0,AVERAGE($FL30:$FL41)*256/10^9/$NC$42))</f>
        <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174672591</v>
      </c>
      <c r="PM43" s="820"/>
      <c r="PN43" s="820"/>
      <c r="PO43" s="820"/>
      <c r="PP43" s="820"/>
      <c r="PQ43" s="821"/>
      <c r="PR43" s="820"/>
      <c r="PS43" s="821"/>
      <c r="PT43" s="820"/>
      <c r="PU43" s="820"/>
      <c r="PV43" s="820"/>
      <c r="PW43" s="821"/>
      <c r="PX43" s="820"/>
      <c r="PY43" s="822"/>
      <c r="PZ43" s="823" t="str">
        <f>IF(COUNT(PZ42:QB42)=0,"",SUM(PZ42:QB42))</f>
        <v/>
      </c>
      <c r="QA43" s="821"/>
      <c r="QB43" s="824"/>
      <c r="QC43" s="208" t="str">
        <f>IF(COUNT(QC42)=0,"",SUM(QC42))</f>
        <v/>
      </c>
      <c r="QD43" s="819">
        <f>IF(COUNT(QD42:QF42)=0,"",SUM(QD42:QF42))</f>
        <v>303281188</v>
      </c>
      <c r="QE43" s="820"/>
      <c r="QF43" s="822"/>
      <c r="QG43" s="819" t="str">
        <f>IF(COUNT(QG42:QH42)=0,"",SUM(QG42:QH42))</f>
        <v/>
      </c>
      <c r="QH43" s="822"/>
      <c r="QI43" s="208" t="str">
        <f>IF(COUNT(QI42)=0,"",SUM(QI42))</f>
        <v/>
      </c>
      <c r="QJ43" s="208" t="str">
        <f>IF(COUNT(QJ42)=0,"",SUM(QJ42))</f>
        <v/>
      </c>
      <c r="QK43" s="208" t="str">
        <f>IF(COUNT(QK42)=0,"",SUM(QK42))</f>
        <v/>
      </c>
      <c r="QL43" s="208" t="str">
        <f>IF(COUNT(QL42)=0,"",SUM(QL42))</f>
        <v/>
      </c>
      <c r="QM43" s="208">
        <f>IF(COUNT(QM42)=0,"",SUM(QM42))</f>
        <v>474931814</v>
      </c>
      <c r="QN43" s="208">
        <f>IF(COUNT(PL43:QM43)=0,"",SUM(PL43:QM43))</f>
        <v>952885593</v>
      </c>
      <c r="QO43" s="232"/>
      <c r="QP43" s="232"/>
      <c r="QQ43" s="232"/>
      <c r="QR43" s="232"/>
      <c r="QS43" s="825" t="str">
        <f>IF(COUNT(QS42:QT42)=0,"",SUM(QS42:QT42))</f>
        <v/>
      </c>
      <c r="QT43" s="820"/>
      <c r="QU43" s="822"/>
      <c r="QV43" s="208" t="str">
        <f>IF(COUNT(QV42)=0,"",SUM(QV42))</f>
        <v/>
      </c>
      <c r="QW43" s="819" t="str">
        <f>IF(COUNT(QW42:$QX42)=0,"",SUM(QW42:$QX42))</f>
        <v/>
      </c>
      <c r="QX43" s="822"/>
      <c r="QY43" s="208" t="str">
        <f>IF(COUNT(QY42)=0,"",SUM(QY42))</f>
        <v/>
      </c>
      <c r="QZ43" s="208" t="str">
        <f>IF(COUNT(QZ42)=0,"",SUM(QZ42))</f>
        <v/>
      </c>
      <c r="RA43" s="227" t="str">
        <f>IF(COUNT(RA42)=0,"",SUM(RA42))</f>
        <v/>
      </c>
      <c r="RB43" s="227" t="str">
        <f>IF(COUNT(RB42)=0,"",SUM(RB42))</f>
        <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13</v>
      </c>
      <c r="TR43" s="413" t="str">
        <f t="shared" ref="TR43:TR54" si="166">IF($NB30="","","Thread " &amp; $NB30)</f>
        <v>Thread 0</v>
      </c>
      <c r="TS43" s="414">
        <f t="shared" ref="TS43:TS54" si="167">NO30</f>
        <v>7.9857900150992782E-4</v>
      </c>
      <c r="TT43" s="414">
        <f t="shared" ref="TT43:TT54" si="168">NU30</f>
        <v>2.7988159558482197E-2</v>
      </c>
      <c r="TU43" s="414">
        <f t="shared" ref="TU43:TU54" si="169">NX30</f>
        <v>1.7594333359539263E-2</v>
      </c>
      <c r="TV43" s="414">
        <f t="shared" ref="TV43:TV54" si="170">NZ30</f>
        <v>1.4366132966172924E-3</v>
      </c>
      <c r="TW43" s="414">
        <f t="shared" ref="TW43:TW54" si="171">OA30</f>
        <v>0</v>
      </c>
      <c r="TX43" s="414">
        <f>OB30</f>
        <v>1.1675153086916029E-2</v>
      </c>
      <c r="TY43" s="414">
        <f t="shared" ref="TY43:TY54" si="172">OC30</f>
        <v>9.8553755815059723E-4</v>
      </c>
      <c r="TZ43" s="414">
        <f t="shared" ref="TZ43:TZ54" si="173">OD30</f>
        <v>3.415157096045702E-3</v>
      </c>
      <c r="UA43" s="414">
        <f t="shared" ref="UA43:UA54" si="174">OH30</f>
        <v>9.3586270427389873E-3</v>
      </c>
      <c r="UB43" s="254" t="s">
        <v>463</v>
      </c>
      <c r="UC43" s="413" t="str">
        <f>IF($NA30="","","Process" &amp; CHAR(10) &amp; $NA30)</f>
        <v>Process
13</v>
      </c>
      <c r="UD43" s="413" t="str">
        <f t="shared" ref="UD43:UD54" si="175">IF($NB30="","","Thread " &amp; $NB30)</f>
        <v>Thread 0</v>
      </c>
      <c r="UE43" s="414">
        <f t="shared" ref="UE43:UE54" si="176">NO30</f>
        <v>7.9857900150992782E-4</v>
      </c>
      <c r="UF43" s="414" t="str">
        <f t="shared" ref="UF43:UF54" si="177">NP30</f>
        <v/>
      </c>
      <c r="UG43" s="414" t="str">
        <f t="shared" ref="UG43:UG54" si="178">NQ30</f>
        <v/>
      </c>
      <c r="UH43" s="414" t="str">
        <f t="shared" ref="UH43:UH54" si="179">NR30</f>
        <v/>
      </c>
      <c r="UI43" s="414" t="str">
        <f t="shared" ref="UI43:UI54" si="180">NS30</f>
        <v/>
      </c>
      <c r="UJ43" s="414" t="str">
        <f t="shared" ref="UJ43:UJ54" si="181">NT30</f>
        <v/>
      </c>
      <c r="UK43" s="414">
        <f t="shared" ref="UK43:UK54" si="182">NU30</f>
        <v>2.7988159558482197E-2</v>
      </c>
      <c r="UL43" s="414" t="str">
        <f t="shared" ref="UL43:UL54" si="183">NV30</f>
        <v/>
      </c>
      <c r="UM43" s="414" t="str">
        <f t="shared" ref="UM43:UM54" si="184">NW30</f>
        <v/>
      </c>
      <c r="UN43" s="414">
        <f t="shared" ref="UN43:UN54" si="185">NX30</f>
        <v>1.7594333359539263E-2</v>
      </c>
      <c r="UO43" s="414" t="str">
        <f t="shared" ref="UO43:UO54" si="186">NY30</f>
        <v/>
      </c>
      <c r="UP43" s="414">
        <f t="shared" ref="UP43:UP54" si="187">NZ30</f>
        <v>1.4366132966172924E-3</v>
      </c>
      <c r="UQ43" s="414">
        <f t="shared" ref="UQ43:UQ54" si="188">OA30</f>
        <v>0</v>
      </c>
      <c r="UR43" s="414">
        <f t="shared" ref="UR43:UR54" si="189">OB30</f>
        <v>1.1675153086916029E-2</v>
      </c>
      <c r="US43" s="414">
        <f t="shared" ref="US43:US54" si="190">OC30</f>
        <v>9.8553755815059723E-4</v>
      </c>
      <c r="UT43" s="414">
        <f t="shared" ref="UT43:UT54" si="191">OD30</f>
        <v>3.415157096045702E-3</v>
      </c>
      <c r="UU43" s="414" t="str">
        <f t="shared" ref="UU43:UU54" si="192">OE30</f>
        <v/>
      </c>
      <c r="UV43" s="414" t="str">
        <f t="shared" ref="UV43:UV54" si="193">OF30</f>
        <v/>
      </c>
      <c r="UW43" s="414" t="str">
        <f t="shared" ref="UW43:UW54" si="194">OG30</f>
        <v/>
      </c>
      <c r="UX43" s="414">
        <f t="shared" ref="UX43:UX54" si="195">OH30</f>
        <v>9.3586270427389873E-3</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8.402911876971849E-4</v>
      </c>
      <c r="TT44" s="414">
        <f t="shared" si="168"/>
        <v>2.8535235991630541E-2</v>
      </c>
      <c r="TU44" s="414">
        <f t="shared" si="169"/>
        <v>1.7124215182944578E-2</v>
      </c>
      <c r="TV44" s="414">
        <f t="shared" si="170"/>
        <v>1.5513024599540601E-3</v>
      </c>
      <c r="TW44" s="414">
        <f t="shared" si="171"/>
        <v>0</v>
      </c>
      <c r="TX44" s="414">
        <f t="shared" ref="TX44:TX54" si="197">OB31</f>
        <v>1.0905360035884503E-2</v>
      </c>
      <c r="TY44" s="414">
        <f t="shared" si="172"/>
        <v>1.1321546308384E-3</v>
      </c>
      <c r="TZ44" s="414">
        <f t="shared" si="173"/>
        <v>3.5913395997337286E-3</v>
      </c>
      <c r="UA44" s="414">
        <f t="shared" si="174"/>
        <v>9.5261809113170136E-3</v>
      </c>
      <c r="UC44" s="413" t="str">
        <f t="shared" ref="UC44:UC54" si="198">IF($NA31="","",IF($NA31=$NA30,"","Process" &amp; CHAR(10) &amp; $NA31))</f>
        <v/>
      </c>
      <c r="UD44" s="413" t="str">
        <f t="shared" si="175"/>
        <v>Thread 1</v>
      </c>
      <c r="UE44" s="414">
        <f t="shared" si="176"/>
        <v>8.402911876971849E-4</v>
      </c>
      <c r="UF44" s="414" t="str">
        <f t="shared" si="177"/>
        <v/>
      </c>
      <c r="UG44" s="414" t="str">
        <f t="shared" si="178"/>
        <v/>
      </c>
      <c r="UH44" s="414" t="str">
        <f t="shared" si="179"/>
        <v/>
      </c>
      <c r="UI44" s="414" t="str">
        <f t="shared" si="180"/>
        <v/>
      </c>
      <c r="UJ44" s="414" t="str">
        <f t="shared" si="181"/>
        <v/>
      </c>
      <c r="UK44" s="414">
        <f t="shared" si="182"/>
        <v>2.8535235991630541E-2</v>
      </c>
      <c r="UL44" s="414" t="str">
        <f t="shared" si="183"/>
        <v/>
      </c>
      <c r="UM44" s="414" t="str">
        <f t="shared" si="184"/>
        <v/>
      </c>
      <c r="UN44" s="414">
        <f t="shared" si="185"/>
        <v>1.7124215182944578E-2</v>
      </c>
      <c r="UO44" s="414" t="str">
        <f t="shared" si="186"/>
        <v/>
      </c>
      <c r="UP44" s="414">
        <f t="shared" si="187"/>
        <v>1.5513024599540601E-3</v>
      </c>
      <c r="UQ44" s="414">
        <f t="shared" si="188"/>
        <v>0</v>
      </c>
      <c r="UR44" s="414">
        <f t="shared" si="189"/>
        <v>1.0905360035884503E-2</v>
      </c>
      <c r="US44" s="414">
        <f t="shared" si="190"/>
        <v>1.1321546308384E-3</v>
      </c>
      <c r="UT44" s="414">
        <f t="shared" si="191"/>
        <v>3.5913395997337286E-3</v>
      </c>
      <c r="UU44" s="414" t="str">
        <f t="shared" si="192"/>
        <v/>
      </c>
      <c r="UV44" s="414" t="str">
        <f t="shared" si="193"/>
        <v/>
      </c>
      <c r="UW44" s="414" t="str">
        <f t="shared" si="194"/>
        <v/>
      </c>
      <c r="UX44" s="414">
        <f t="shared" si="195"/>
        <v>9.5261809113170136E-3</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t="str">
        <f>IF(OR(COUNT($KW30:$KW41)=0,COUNT($KX30:$KX41)=0,COUNT($KY30:$KY41)=0,COUNT($LU30:$LU41)=0,COUNT($LV30:$LV41)=0,$C$8="",$NC$42=""),"",IF($NC$42=0,0,
  GuardLimitLower(
    (($KW30 - $KX30 - $KY30)
     - $LU30 + $LV30)*$C$8/10^9/$NC$42,
    data_GuardLimitFlag,
    0) ))</f>
        <v/>
      </c>
      <c r="RL45" s="577" t="str">
        <f>IF(OR(COUNT($LA30:$LA41)=0,COUNT($LB30:$LB41)=0,COUNT($LC30:$LC41)=0,COUNT($LD30:$LD41)=0,$C$8="",$NC$42=""),"",IF($NC$42=0,0,
IF($G$11=0,($LB30+$LC30+$LD30)*$C$8/10^9/$NC$42,
IF($G$11=1,($LA30+$LC30+$LD30)*$C$8/10^9/$NC$42,
IF($G$11=2,($LA30+$LB30+$LD30)*$C$8/10^9/$NC$42,
IF($G$11=3,($LA30+$LB30+$LC30)*$C$8/10^9/$NC$42))))))</f>
        <v/>
      </c>
      <c r="TK45" s="309"/>
      <c r="TL45" s="358" t="s">
        <v>1952</v>
      </c>
      <c r="TM45" s="358" t="s">
        <v>1427</v>
      </c>
      <c r="TN45" s="358" t="s">
        <v>1689</v>
      </c>
      <c r="TQ45" s="413" t="str">
        <f t="shared" si="196"/>
        <v/>
      </c>
      <c r="TR45" s="413" t="str">
        <f t="shared" si="166"/>
        <v>Thread 2</v>
      </c>
      <c r="TS45" s="414">
        <f t="shared" si="167"/>
        <v>8.8205420837007874E-4</v>
      </c>
      <c r="TT45" s="414">
        <f t="shared" si="168"/>
        <v>2.6083449775643835E-2</v>
      </c>
      <c r="TU45" s="414">
        <f t="shared" si="169"/>
        <v>1.7103910953054354E-2</v>
      </c>
      <c r="TV45" s="414">
        <f t="shared" si="170"/>
        <v>1.3547424965441883E-3</v>
      </c>
      <c r="TW45" s="414">
        <f t="shared" si="171"/>
        <v>0</v>
      </c>
      <c r="TX45" s="414">
        <f t="shared" si="197"/>
        <v>1.3221715065541711E-2</v>
      </c>
      <c r="TY45" s="414">
        <f t="shared" si="172"/>
        <v>1.6521017242873773E-3</v>
      </c>
      <c r="TZ45" s="414">
        <f t="shared" si="173"/>
        <v>3.4774894635084615E-3</v>
      </c>
      <c r="UA45" s="414">
        <f t="shared" si="174"/>
        <v>9.4469363130499969E-3</v>
      </c>
      <c r="UC45" s="413" t="str">
        <f t="shared" si="198"/>
        <v/>
      </c>
      <c r="UD45" s="413" t="str">
        <f t="shared" si="175"/>
        <v>Thread 2</v>
      </c>
      <c r="UE45" s="414">
        <f t="shared" si="176"/>
        <v>8.8205420837007874E-4</v>
      </c>
      <c r="UF45" s="414" t="str">
        <f t="shared" si="177"/>
        <v/>
      </c>
      <c r="UG45" s="414" t="str">
        <f t="shared" si="178"/>
        <v/>
      </c>
      <c r="UH45" s="414" t="str">
        <f t="shared" si="179"/>
        <v/>
      </c>
      <c r="UI45" s="414" t="str">
        <f t="shared" si="180"/>
        <v/>
      </c>
      <c r="UJ45" s="414" t="str">
        <f t="shared" si="181"/>
        <v/>
      </c>
      <c r="UK45" s="414">
        <f t="shared" si="182"/>
        <v>2.6083449775643835E-2</v>
      </c>
      <c r="UL45" s="414" t="str">
        <f t="shared" si="183"/>
        <v/>
      </c>
      <c r="UM45" s="414" t="str">
        <f t="shared" si="184"/>
        <v/>
      </c>
      <c r="UN45" s="414">
        <f t="shared" si="185"/>
        <v>1.7103910953054354E-2</v>
      </c>
      <c r="UO45" s="414" t="str">
        <f t="shared" si="186"/>
        <v/>
      </c>
      <c r="UP45" s="414">
        <f t="shared" si="187"/>
        <v>1.3547424965441883E-3</v>
      </c>
      <c r="UQ45" s="414">
        <f t="shared" si="188"/>
        <v>0</v>
      </c>
      <c r="UR45" s="414">
        <f t="shared" si="189"/>
        <v>1.3221715065541711E-2</v>
      </c>
      <c r="US45" s="414">
        <f t="shared" si="190"/>
        <v>1.6521017242873773E-3</v>
      </c>
      <c r="UT45" s="414">
        <f t="shared" si="191"/>
        <v>3.4774894635084615E-3</v>
      </c>
      <c r="UU45" s="414" t="str">
        <f t="shared" si="192"/>
        <v/>
      </c>
      <c r="UV45" s="414" t="str">
        <f t="shared" si="193"/>
        <v/>
      </c>
      <c r="UW45" s="414" t="str">
        <f t="shared" si="194"/>
        <v/>
      </c>
      <c r="UX45" s="414">
        <f t="shared" si="195"/>
        <v>9.4469363130499969E-3</v>
      </c>
      <c r="VA45" s="415"/>
      <c r="VK45" s="2"/>
    </row>
    <row r="46" spans="28:617" ht="15.75" customHeight="1">
      <c r="RJ46" s="577">
        <v>1</v>
      </c>
      <c r="RK46" s="577" t="str">
        <f>IF(OR(COUNT($KW31:$KW42)=0,COUNT($KX31:$KX42)=0,COUNT($KY31:$KY42)=0,COUNT($LU31:$LU42)=0,COUNT($LV31:$LV42)=0,$C$8="",$NC$42=""),"",IF($NC$42=0,0,
  GuardLimitLower(
    (($KW31 - $KX31 - $KY31)
     - $LU31 + $LV31)*$C$8/10^9/$NC$42,
    data_GuardLimitFlag,
    0) ))</f>
        <v/>
      </c>
      <c r="RL46" s="577" t="str">
        <f t="shared" ref="RL46:RL56" si="199">IF(OR(COUNT($LA31:$LA42)=0,COUNT($LB31:$LB42)=0,COUNT($LC31:$LC42)=0,COUNT($LD31:$LD42)=0,$C$8="",$NC$42=""),"",IF($NC$42=0,0,
IF($G$11=0,($LB31+$LC31+$LD31)*$C$8/10^9/$NC$42,
IF($G$11=1,($LA31+$LC31+$LD31)*$C$8/10^9/$NC$42,
IF($G$11=2,($LA31+$LB31+$LD31)*$C$8/10^9/$NC$42,
IF($G$11=3,($LA31+$LB31+$LC31)*$C$8/10^9/$NC$42))))))</f>
        <v/>
      </c>
      <c r="TK46" s="317"/>
      <c r="TL46" s="320" t="s">
        <v>1727</v>
      </c>
      <c r="TM46" s="319" t="s">
        <v>1730</v>
      </c>
      <c r="TN46" s="318" t="s">
        <v>1894</v>
      </c>
      <c r="TQ46" s="413" t="str">
        <f t="shared" si="196"/>
        <v>Process
9</v>
      </c>
      <c r="TR46" s="413" t="str">
        <f t="shared" si="166"/>
        <v>Thread 0</v>
      </c>
      <c r="TS46" s="414">
        <f t="shared" si="167"/>
        <v>7.8079360452174191E-4</v>
      </c>
      <c r="TT46" s="414">
        <f t="shared" si="168"/>
        <v>2.8708634419880773E-2</v>
      </c>
      <c r="TU46" s="414">
        <f t="shared" si="169"/>
        <v>1.7558365276572618E-2</v>
      </c>
      <c r="TV46" s="414">
        <f t="shared" si="170"/>
        <v>1.5204338472524846E-3</v>
      </c>
      <c r="TW46" s="414">
        <f t="shared" si="171"/>
        <v>0</v>
      </c>
      <c r="TX46" s="414">
        <f t="shared" si="197"/>
        <v>1.0842098318231503E-2</v>
      </c>
      <c r="TY46" s="414">
        <f t="shared" si="172"/>
        <v>8.0379776738130084E-4</v>
      </c>
      <c r="TZ46" s="414">
        <f t="shared" si="173"/>
        <v>3.4520075291226589E-3</v>
      </c>
      <c r="UA46" s="414">
        <f t="shared" si="174"/>
        <v>9.4036292370369146E-3</v>
      </c>
      <c r="UC46" s="413" t="str">
        <f t="shared" si="198"/>
        <v>Process
9</v>
      </c>
      <c r="UD46" s="413" t="str">
        <f t="shared" si="175"/>
        <v>Thread 0</v>
      </c>
      <c r="UE46" s="414">
        <f t="shared" si="176"/>
        <v>7.8079360452174191E-4</v>
      </c>
      <c r="UF46" s="414" t="str">
        <f t="shared" si="177"/>
        <v/>
      </c>
      <c r="UG46" s="414" t="str">
        <f t="shared" si="178"/>
        <v/>
      </c>
      <c r="UH46" s="414" t="str">
        <f t="shared" si="179"/>
        <v/>
      </c>
      <c r="UI46" s="414" t="str">
        <f t="shared" si="180"/>
        <v/>
      </c>
      <c r="UJ46" s="414" t="str">
        <f t="shared" si="181"/>
        <v/>
      </c>
      <c r="UK46" s="414">
        <f t="shared" si="182"/>
        <v>2.8708634419880773E-2</v>
      </c>
      <c r="UL46" s="414" t="str">
        <f t="shared" si="183"/>
        <v/>
      </c>
      <c r="UM46" s="414" t="str">
        <f t="shared" si="184"/>
        <v/>
      </c>
      <c r="UN46" s="414">
        <f t="shared" si="185"/>
        <v>1.7558365276572618E-2</v>
      </c>
      <c r="UO46" s="414" t="str">
        <f t="shared" si="186"/>
        <v/>
      </c>
      <c r="UP46" s="414">
        <f t="shared" si="187"/>
        <v>1.5204338472524846E-3</v>
      </c>
      <c r="UQ46" s="414">
        <f t="shared" si="188"/>
        <v>0</v>
      </c>
      <c r="UR46" s="414">
        <f t="shared" si="189"/>
        <v>1.0842098318231503E-2</v>
      </c>
      <c r="US46" s="414">
        <f t="shared" si="190"/>
        <v>8.0379776738130084E-4</v>
      </c>
      <c r="UT46" s="414">
        <f t="shared" si="191"/>
        <v>3.4520075291226589E-3</v>
      </c>
      <c r="UU46" s="414" t="str">
        <f t="shared" si="192"/>
        <v/>
      </c>
      <c r="UV46" s="414" t="str">
        <f t="shared" si="193"/>
        <v/>
      </c>
      <c r="UW46" s="414" t="str">
        <f t="shared" si="194"/>
        <v/>
      </c>
      <c r="UX46" s="414">
        <f t="shared" si="195"/>
        <v>9.4036292370369146E-3</v>
      </c>
      <c r="VK46" s="2"/>
    </row>
    <row r="47" spans="28:617" ht="15.75" customHeight="1">
      <c r="RJ47" s="577">
        <v>2</v>
      </c>
      <c r="RK47" s="577" t="str">
        <f>IF(OR(COUNT($KW32:$KW43)=0,COUNT($KX32:$KX43)=0,COUNT($KY32:$KY43)=0,COUNT($LU32:$LU43)=0,COUNT($LV32:$LV43)=0,$C$8="",$NC$42=""),"",IF($NC$42=0,0,
  GuardLimitLower(
    (($KW32 - $KX32 - $KY32)
     - $LU32 + $LV32)*$C$8/10^9/$NC$42,
    data_GuardLimitFlag,
    0) ))</f>
        <v/>
      </c>
      <c r="RL47" s="577" t="str">
        <f t="shared" si="199"/>
        <v/>
      </c>
      <c r="TK47" s="244"/>
      <c r="TL47" s="345" t="s">
        <v>822</v>
      </c>
      <c r="TM47" s="345" t="s">
        <v>823</v>
      </c>
      <c r="TN47" s="345" t="s">
        <v>824</v>
      </c>
      <c r="TQ47" s="413" t="str">
        <f t="shared" si="196"/>
        <v/>
      </c>
      <c r="TR47" s="413" t="str">
        <f t="shared" si="166"/>
        <v>Thread 1</v>
      </c>
      <c r="TS47" s="414">
        <f t="shared" si="167"/>
        <v>7.6446738087898038E-4</v>
      </c>
      <c r="TT47" s="414">
        <f t="shared" si="168"/>
        <v>2.727180023902585E-2</v>
      </c>
      <c r="TU47" s="414">
        <f t="shared" si="169"/>
        <v>1.7137709382503041E-2</v>
      </c>
      <c r="TV47" s="414">
        <f t="shared" si="170"/>
        <v>1.4212327192297302E-3</v>
      </c>
      <c r="TW47" s="414">
        <f t="shared" si="171"/>
        <v>0</v>
      </c>
      <c r="TX47" s="414">
        <f t="shared" si="197"/>
        <v>1.2220671533363875E-2</v>
      </c>
      <c r="TY47" s="414">
        <f t="shared" si="172"/>
        <v>1.3530870460858476E-3</v>
      </c>
      <c r="TZ47" s="414">
        <f t="shared" si="173"/>
        <v>3.4742748049985004E-3</v>
      </c>
      <c r="UA47" s="414">
        <f t="shared" si="174"/>
        <v>9.4028368939141731E-3</v>
      </c>
      <c r="UC47" s="413" t="str">
        <f t="shared" si="198"/>
        <v/>
      </c>
      <c r="UD47" s="413" t="str">
        <f t="shared" si="175"/>
        <v>Thread 1</v>
      </c>
      <c r="UE47" s="414">
        <f t="shared" si="176"/>
        <v>7.6446738087898038E-4</v>
      </c>
      <c r="UF47" s="414" t="str">
        <f t="shared" si="177"/>
        <v/>
      </c>
      <c r="UG47" s="414" t="str">
        <f t="shared" si="178"/>
        <v/>
      </c>
      <c r="UH47" s="414" t="str">
        <f t="shared" si="179"/>
        <v/>
      </c>
      <c r="UI47" s="414" t="str">
        <f t="shared" si="180"/>
        <v/>
      </c>
      <c r="UJ47" s="414" t="str">
        <f t="shared" si="181"/>
        <v/>
      </c>
      <c r="UK47" s="414">
        <f t="shared" si="182"/>
        <v>2.727180023902585E-2</v>
      </c>
      <c r="UL47" s="414" t="str">
        <f t="shared" si="183"/>
        <v/>
      </c>
      <c r="UM47" s="414" t="str">
        <f t="shared" si="184"/>
        <v/>
      </c>
      <c r="UN47" s="414">
        <f t="shared" si="185"/>
        <v>1.7137709382503041E-2</v>
      </c>
      <c r="UO47" s="414" t="str">
        <f t="shared" si="186"/>
        <v/>
      </c>
      <c r="UP47" s="414">
        <f t="shared" si="187"/>
        <v>1.4212327192297302E-3</v>
      </c>
      <c r="UQ47" s="414">
        <f t="shared" si="188"/>
        <v>0</v>
      </c>
      <c r="UR47" s="414">
        <f t="shared" si="189"/>
        <v>1.2220671533363875E-2</v>
      </c>
      <c r="US47" s="414">
        <f t="shared" si="190"/>
        <v>1.3530870460858476E-3</v>
      </c>
      <c r="UT47" s="414">
        <f t="shared" si="191"/>
        <v>3.4742748049985004E-3</v>
      </c>
      <c r="UU47" s="414" t="str">
        <f t="shared" si="192"/>
        <v/>
      </c>
      <c r="UV47" s="414" t="str">
        <f t="shared" si="193"/>
        <v/>
      </c>
      <c r="UW47" s="414" t="str">
        <f t="shared" si="194"/>
        <v/>
      </c>
      <c r="UX47" s="414">
        <f t="shared" si="195"/>
        <v>9.4028368939141731E-3</v>
      </c>
      <c r="VK47" s="2"/>
    </row>
    <row r="48" spans="28:617" ht="15.75" customHeight="1">
      <c r="RJ48" s="577">
        <v>3</v>
      </c>
      <c r="RK48" s="577" t="str">
        <f>IF(OR(COUNT($KW33:$KW44)=0,COUNT($KX33:$KX44)=0,COUNT($KY33:$KY44)=0,COUNT($LU33:$LU44)=0,COUNT($LV33:$LV44)=0,$C$8="",$NC$42=""),"",IF($NC$42=0,0,
  GuardLimitLower(
    (($KW33 - $KX33 - $KY33)
     - $LU33 + $LV33)*$C$8/10^9/$NC$42,
    data_GuardLimitFlag,
    0) ))</f>
        <v/>
      </c>
      <c r="RL48" s="577" t="str">
        <f t="shared" si="199"/>
        <v/>
      </c>
      <c r="TK48" s="239" t="s">
        <v>457</v>
      </c>
      <c r="TL48" s="359">
        <f>IF(NJ59="",0,NJ59)</f>
        <v>0</v>
      </c>
      <c r="TM48" s="359">
        <f>IF(NG59="",0,NG59)</f>
        <v>0</v>
      </c>
      <c r="TN48" s="359">
        <f>IF(NE59="",0,NE59)</f>
        <v>0</v>
      </c>
      <c r="TQ48" s="413" t="str">
        <f t="shared" si="196"/>
        <v/>
      </c>
      <c r="TR48" s="413" t="str">
        <f t="shared" si="166"/>
        <v>Thread 2</v>
      </c>
      <c r="TS48" s="414">
        <f t="shared" si="167"/>
        <v>7.411965340438486E-4</v>
      </c>
      <c r="TT48" s="414">
        <f t="shared" si="168"/>
        <v>2.6804518277779205E-2</v>
      </c>
      <c r="TU48" s="414">
        <f t="shared" si="169"/>
        <v>1.7113437192983059E-2</v>
      </c>
      <c r="TV48" s="414">
        <f t="shared" si="170"/>
        <v>1.2970593541978921E-3</v>
      </c>
      <c r="TW48" s="414">
        <f t="shared" si="171"/>
        <v>0</v>
      </c>
      <c r="TX48" s="414">
        <f t="shared" si="197"/>
        <v>1.3025019588674745E-2</v>
      </c>
      <c r="TY48" s="414">
        <f t="shared" si="172"/>
        <v>1.2559630604918369E-3</v>
      </c>
      <c r="TZ48" s="414">
        <f t="shared" si="173"/>
        <v>3.3941166901133597E-3</v>
      </c>
      <c r="UA48" s="414">
        <f t="shared" si="174"/>
        <v>9.4010093017160498E-3</v>
      </c>
      <c r="UC48" s="413" t="str">
        <f t="shared" si="198"/>
        <v/>
      </c>
      <c r="UD48" s="413" t="str">
        <f t="shared" si="175"/>
        <v>Thread 2</v>
      </c>
      <c r="UE48" s="414">
        <f t="shared" si="176"/>
        <v>7.411965340438486E-4</v>
      </c>
      <c r="UF48" s="414" t="str">
        <f t="shared" si="177"/>
        <v/>
      </c>
      <c r="UG48" s="414" t="str">
        <f t="shared" si="178"/>
        <v/>
      </c>
      <c r="UH48" s="414" t="str">
        <f t="shared" si="179"/>
        <v/>
      </c>
      <c r="UI48" s="414" t="str">
        <f t="shared" si="180"/>
        <v/>
      </c>
      <c r="UJ48" s="414" t="str">
        <f t="shared" si="181"/>
        <v/>
      </c>
      <c r="UK48" s="414">
        <f t="shared" si="182"/>
        <v>2.6804518277779205E-2</v>
      </c>
      <c r="UL48" s="414" t="str">
        <f t="shared" si="183"/>
        <v/>
      </c>
      <c r="UM48" s="414" t="str">
        <f t="shared" si="184"/>
        <v/>
      </c>
      <c r="UN48" s="414">
        <f t="shared" si="185"/>
        <v>1.7113437192983059E-2</v>
      </c>
      <c r="UO48" s="414" t="str">
        <f t="shared" si="186"/>
        <v/>
      </c>
      <c r="UP48" s="414">
        <f t="shared" si="187"/>
        <v>1.2970593541978921E-3</v>
      </c>
      <c r="UQ48" s="414">
        <f t="shared" si="188"/>
        <v>0</v>
      </c>
      <c r="UR48" s="414">
        <f t="shared" si="189"/>
        <v>1.3025019588674745E-2</v>
      </c>
      <c r="US48" s="414">
        <f t="shared" si="190"/>
        <v>1.2559630604918369E-3</v>
      </c>
      <c r="UT48" s="414">
        <f t="shared" si="191"/>
        <v>3.3941166901133597E-3</v>
      </c>
      <c r="UU48" s="414" t="str">
        <f t="shared" si="192"/>
        <v/>
      </c>
      <c r="UV48" s="414" t="str">
        <f t="shared" si="193"/>
        <v/>
      </c>
      <c r="UW48" s="414" t="str">
        <f t="shared" si="194"/>
        <v/>
      </c>
      <c r="UX48" s="414">
        <f t="shared" si="195"/>
        <v>9.4010093017160498E-3</v>
      </c>
      <c r="VK48" s="2"/>
    </row>
    <row r="49" spans="400:583" ht="15.75" customHeight="1">
      <c r="RJ49" s="577">
        <v>4</v>
      </c>
      <c r="RK49" s="577" t="str">
        <f>IF(OR(COUNT($KW34:$KW45)=0,COUNT($KX34:$KX45)=0,COUNT($KY34:$KY45)=0,COUNT($LU34:$LU45)=0,COUNT($LV34:$LV45)=0,$C$8="",$NC$42=""),"",IF($NC$42=0,0,
  GuardLimitLower(
    (($KW34 - $KX34 - $KY34)
     - $LU34 + $LV34)*$C$8/10^9/$NC$42,
    data_GuardLimitFlag,
    0) ))</f>
        <v/>
      </c>
      <c r="RL49" s="577" t="str">
        <f t="shared" si="199"/>
        <v/>
      </c>
      <c r="TQ49" s="413" t="str">
        <f t="shared" si="196"/>
        <v>Process
5</v>
      </c>
      <c r="TR49" s="413" t="str">
        <f t="shared" si="166"/>
        <v>Thread 0</v>
      </c>
      <c r="TS49" s="414">
        <f t="shared" si="167"/>
        <v>4.2894287189496804E-4</v>
      </c>
      <c r="TT49" s="414">
        <f t="shared" si="168"/>
        <v>2.6858305433558719E-2</v>
      </c>
      <c r="TU49" s="414">
        <f t="shared" si="169"/>
        <v>1.7496388567595413E-2</v>
      </c>
      <c r="TV49" s="414">
        <f t="shared" si="170"/>
        <v>1.393848876169098E-3</v>
      </c>
      <c r="TW49" s="414">
        <f t="shared" si="171"/>
        <v>0</v>
      </c>
      <c r="TX49" s="414">
        <f t="shared" si="197"/>
        <v>1.2233623017832328E-2</v>
      </c>
      <c r="TY49" s="414">
        <f t="shared" si="172"/>
        <v>1.2289262923744603E-3</v>
      </c>
      <c r="TZ49" s="414">
        <f t="shared" si="173"/>
        <v>3.3657649639314614E-3</v>
      </c>
      <c r="UA49" s="414">
        <f t="shared" si="174"/>
        <v>9.1721199766435571E-3</v>
      </c>
      <c r="UC49" s="413" t="str">
        <f t="shared" si="198"/>
        <v>Process
5</v>
      </c>
      <c r="UD49" s="413" t="str">
        <f t="shared" si="175"/>
        <v>Thread 0</v>
      </c>
      <c r="UE49" s="414">
        <f t="shared" si="176"/>
        <v>4.2894287189496804E-4</v>
      </c>
      <c r="UF49" s="414" t="str">
        <f t="shared" si="177"/>
        <v/>
      </c>
      <c r="UG49" s="414" t="str">
        <f t="shared" si="178"/>
        <v/>
      </c>
      <c r="UH49" s="414" t="str">
        <f t="shared" si="179"/>
        <v/>
      </c>
      <c r="UI49" s="414" t="str">
        <f t="shared" si="180"/>
        <v/>
      </c>
      <c r="UJ49" s="414" t="str">
        <f t="shared" si="181"/>
        <v/>
      </c>
      <c r="UK49" s="414">
        <f t="shared" si="182"/>
        <v>2.6858305433558719E-2</v>
      </c>
      <c r="UL49" s="414" t="str">
        <f t="shared" si="183"/>
        <v/>
      </c>
      <c r="UM49" s="414" t="str">
        <f t="shared" si="184"/>
        <v/>
      </c>
      <c r="UN49" s="414">
        <f t="shared" si="185"/>
        <v>1.7496388567595413E-2</v>
      </c>
      <c r="UO49" s="414" t="str">
        <f t="shared" si="186"/>
        <v/>
      </c>
      <c r="UP49" s="414">
        <f t="shared" si="187"/>
        <v>1.393848876169098E-3</v>
      </c>
      <c r="UQ49" s="414">
        <f t="shared" si="188"/>
        <v>0</v>
      </c>
      <c r="UR49" s="414">
        <f t="shared" si="189"/>
        <v>1.2233623017832328E-2</v>
      </c>
      <c r="US49" s="414">
        <f t="shared" si="190"/>
        <v>1.2289262923744603E-3</v>
      </c>
      <c r="UT49" s="414">
        <f t="shared" si="191"/>
        <v>3.3657649639314614E-3</v>
      </c>
      <c r="UU49" s="414" t="str">
        <f t="shared" si="192"/>
        <v/>
      </c>
      <c r="UV49" s="414" t="str">
        <f t="shared" si="193"/>
        <v/>
      </c>
      <c r="UW49" s="414" t="str">
        <f t="shared" si="194"/>
        <v/>
      </c>
      <c r="UX49" s="414">
        <f t="shared" si="195"/>
        <v>9.1721199766435571E-3</v>
      </c>
      <c r="VK49" s="2"/>
    </row>
    <row r="50" spans="400:583" ht="15.75" customHeight="1">
      <c r="RJ50" s="577">
        <v>5</v>
      </c>
      <c r="RK50" s="577" t="str">
        <f>IF(OR(COUNT($KW35:$KW46)=0,COUNT($KX35:$KX46)=0,COUNT($KY35:$KY46)=0,COUNT($LU35:$LU46)=0,COUNT($LV35:$LV46)=0,$C$8="",$NC$42=""),"",IF($NC$42=0,0,
  GuardLimitLower(
    (($KW35 - $KX35 - $KY35)
     - $LU35 + $LV35)*$C$8/10^9/$NC$42,
    data_GuardLimitFlag,
    0) ))</f>
        <v/>
      </c>
      <c r="RL50" s="577" t="str">
        <f t="shared" si="199"/>
        <v/>
      </c>
      <c r="TQ50" s="413" t="str">
        <f t="shared" si="196"/>
        <v/>
      </c>
      <c r="TR50" s="413" t="str">
        <f t="shared" si="166"/>
        <v>Thread 1</v>
      </c>
      <c r="TS50" s="414">
        <f t="shared" si="167"/>
        <v>4.1277588260813842E-4</v>
      </c>
      <c r="TT50" s="414">
        <f t="shared" si="168"/>
        <v>2.789122782798938E-2</v>
      </c>
      <c r="TU50" s="414">
        <f t="shared" si="169"/>
        <v>1.7041521041688892E-2</v>
      </c>
      <c r="TV50" s="414">
        <f t="shared" si="170"/>
        <v>1.4307793761659544E-3</v>
      </c>
      <c r="TW50" s="414">
        <f t="shared" si="171"/>
        <v>0</v>
      </c>
      <c r="TX50" s="414">
        <f t="shared" si="197"/>
        <v>1.1449728500132936E-2</v>
      </c>
      <c r="TY50" s="414">
        <f t="shared" si="172"/>
        <v>1.1474591366279494E-3</v>
      </c>
      <c r="TZ50" s="414">
        <f t="shared" si="173"/>
        <v>3.4452509777666606E-3</v>
      </c>
      <c r="UA50" s="414">
        <f t="shared" si="174"/>
        <v>9.3178972570200878E-3</v>
      </c>
      <c r="UC50" s="413" t="str">
        <f t="shared" si="198"/>
        <v/>
      </c>
      <c r="UD50" s="413" t="str">
        <f t="shared" si="175"/>
        <v>Thread 1</v>
      </c>
      <c r="UE50" s="414">
        <f t="shared" si="176"/>
        <v>4.1277588260813842E-4</v>
      </c>
      <c r="UF50" s="414" t="str">
        <f t="shared" si="177"/>
        <v/>
      </c>
      <c r="UG50" s="414" t="str">
        <f t="shared" si="178"/>
        <v/>
      </c>
      <c r="UH50" s="414" t="str">
        <f t="shared" si="179"/>
        <v/>
      </c>
      <c r="UI50" s="414" t="str">
        <f t="shared" si="180"/>
        <v/>
      </c>
      <c r="UJ50" s="414" t="str">
        <f t="shared" si="181"/>
        <v/>
      </c>
      <c r="UK50" s="414">
        <f t="shared" si="182"/>
        <v>2.789122782798938E-2</v>
      </c>
      <c r="UL50" s="414" t="str">
        <f t="shared" si="183"/>
        <v/>
      </c>
      <c r="UM50" s="414" t="str">
        <f t="shared" si="184"/>
        <v/>
      </c>
      <c r="UN50" s="414">
        <f t="shared" si="185"/>
        <v>1.7041521041688892E-2</v>
      </c>
      <c r="UO50" s="414" t="str">
        <f t="shared" si="186"/>
        <v/>
      </c>
      <c r="UP50" s="414">
        <f t="shared" si="187"/>
        <v>1.4307793761659544E-3</v>
      </c>
      <c r="UQ50" s="414">
        <f t="shared" si="188"/>
        <v>0</v>
      </c>
      <c r="UR50" s="414">
        <f t="shared" si="189"/>
        <v>1.1449728500132936E-2</v>
      </c>
      <c r="US50" s="414">
        <f t="shared" si="190"/>
        <v>1.1474591366279494E-3</v>
      </c>
      <c r="UT50" s="414">
        <f t="shared" si="191"/>
        <v>3.4452509777666606E-3</v>
      </c>
      <c r="UU50" s="414" t="str">
        <f t="shared" si="192"/>
        <v/>
      </c>
      <c r="UV50" s="414" t="str">
        <f t="shared" si="193"/>
        <v/>
      </c>
      <c r="UW50" s="414" t="str">
        <f t="shared" si="194"/>
        <v/>
      </c>
      <c r="UX50" s="414">
        <f t="shared" si="195"/>
        <v>9.3178972570200878E-3</v>
      </c>
      <c r="VK50" s="2"/>
    </row>
    <row r="51" spans="400:583" ht="15.75" customHeight="1">
      <c r="RJ51" s="577">
        <v>6</v>
      </c>
      <c r="RK51" s="577" t="str">
        <f>IF(OR(COUNT($KW36:$KW47)=0,COUNT($KX36:$KX47)=0,COUNT($KY36:$KY47)=0,COUNT($LU36:$LU47)=0,COUNT($LV36:$LV47)=0,$C$8="",$NC$42=""),"",IF($NC$42=0,0,
  GuardLimitLower(
    (($KW36 - $KX36 - $KY36)
     - $LU36 + $LV36)*$C$8/10^9/$NC$42,
    data_GuardLimitFlag,
    0) ))</f>
        <v/>
      </c>
      <c r="RL51" s="577" t="str">
        <f t="shared" si="199"/>
        <v/>
      </c>
      <c r="TQ51" s="413" t="str">
        <f t="shared" si="196"/>
        <v/>
      </c>
      <c r="TR51" s="413" t="str">
        <f t="shared" si="166"/>
        <v>Thread 2</v>
      </c>
      <c r="TS51" s="414">
        <f t="shared" si="167"/>
        <v>4.7841125632873589E-4</v>
      </c>
      <c r="TT51" s="414">
        <f t="shared" si="168"/>
        <v>2.8086011713924813E-2</v>
      </c>
      <c r="TU51" s="414">
        <f t="shared" si="169"/>
        <v>1.708995689765928E-2</v>
      </c>
      <c r="TV51" s="414">
        <f t="shared" si="170"/>
        <v>1.3398514575063689E-3</v>
      </c>
      <c r="TW51" s="414">
        <f t="shared" si="171"/>
        <v>0</v>
      </c>
      <c r="TX51" s="414">
        <f t="shared" si="197"/>
        <v>1.1427843133062679E-2</v>
      </c>
      <c r="TY51" s="414">
        <f t="shared" si="172"/>
        <v>1.0378933724000169E-3</v>
      </c>
      <c r="TZ51" s="414">
        <f t="shared" si="173"/>
        <v>3.4049692674946916E-3</v>
      </c>
      <c r="UA51" s="414">
        <f t="shared" si="174"/>
        <v>9.2883429016234163E-3</v>
      </c>
      <c r="UC51" s="413" t="str">
        <f t="shared" si="198"/>
        <v/>
      </c>
      <c r="UD51" s="413" t="str">
        <f t="shared" si="175"/>
        <v>Thread 2</v>
      </c>
      <c r="UE51" s="414">
        <f t="shared" si="176"/>
        <v>4.7841125632873589E-4</v>
      </c>
      <c r="UF51" s="414" t="str">
        <f t="shared" si="177"/>
        <v/>
      </c>
      <c r="UG51" s="414" t="str">
        <f t="shared" si="178"/>
        <v/>
      </c>
      <c r="UH51" s="414" t="str">
        <f t="shared" si="179"/>
        <v/>
      </c>
      <c r="UI51" s="414" t="str">
        <f t="shared" si="180"/>
        <v/>
      </c>
      <c r="UJ51" s="414" t="str">
        <f t="shared" si="181"/>
        <v/>
      </c>
      <c r="UK51" s="414">
        <f t="shared" si="182"/>
        <v>2.8086011713924813E-2</v>
      </c>
      <c r="UL51" s="414" t="str">
        <f t="shared" si="183"/>
        <v/>
      </c>
      <c r="UM51" s="414" t="str">
        <f t="shared" si="184"/>
        <v/>
      </c>
      <c r="UN51" s="414">
        <f t="shared" si="185"/>
        <v>1.708995689765928E-2</v>
      </c>
      <c r="UO51" s="414" t="str">
        <f t="shared" si="186"/>
        <v/>
      </c>
      <c r="UP51" s="414">
        <f t="shared" si="187"/>
        <v>1.3398514575063689E-3</v>
      </c>
      <c r="UQ51" s="414">
        <f t="shared" si="188"/>
        <v>0</v>
      </c>
      <c r="UR51" s="414">
        <f t="shared" si="189"/>
        <v>1.1427843133062679E-2</v>
      </c>
      <c r="US51" s="414">
        <f t="shared" si="190"/>
        <v>1.0378933724000169E-3</v>
      </c>
      <c r="UT51" s="414">
        <f t="shared" si="191"/>
        <v>3.4049692674946916E-3</v>
      </c>
      <c r="UU51" s="414" t="str">
        <f t="shared" si="192"/>
        <v/>
      </c>
      <c r="UV51" s="414" t="str">
        <f t="shared" si="193"/>
        <v/>
      </c>
      <c r="UW51" s="414" t="str">
        <f t="shared" si="194"/>
        <v/>
      </c>
      <c r="UX51" s="414">
        <f t="shared" si="195"/>
        <v>9.2883429016234163E-3</v>
      </c>
      <c r="VI51" s="2"/>
      <c r="VJ51" s="2"/>
      <c r="VK51" s="2"/>
    </row>
    <row r="52" spans="400:583" ht="15.75" customHeight="1">
      <c r="RJ52" s="577">
        <v>7</v>
      </c>
      <c r="RK52" s="577" t="str">
        <f>IF(OR(COUNT($KW37:$KW48)=0,COUNT($KX37:$KX48)=0,COUNT($KY37:$KY48)=0,COUNT($LU37:$LU48)=0,COUNT($LV37:$LV48)=0,$C$8="",$NC$42=""),"",IF($NC$42=0,0,
  GuardLimitLower(
    (($KW37 - $KX37 - $KY37)
     - $LU37 + $LV37)*$C$8/10^9/$NC$42,
    data_GuardLimitFlag,
    0) ))</f>
        <v/>
      </c>
      <c r="RL52" s="577" t="str">
        <f t="shared" si="199"/>
        <v/>
      </c>
      <c r="TQ52" s="413" t="str">
        <f t="shared" si="196"/>
        <v>Process
1</v>
      </c>
      <c r="TR52" s="413" t="str">
        <f t="shared" si="166"/>
        <v>Thread 0</v>
      </c>
      <c r="TS52" s="414">
        <f t="shared" si="167"/>
        <v>7.1560323090866088E-4</v>
      </c>
      <c r="TT52" s="414">
        <f t="shared" si="168"/>
        <v>2.7034348916632693E-2</v>
      </c>
      <c r="TU52" s="414">
        <f t="shared" si="169"/>
        <v>1.7360946443587811E-2</v>
      </c>
      <c r="TV52" s="414">
        <f t="shared" si="170"/>
        <v>1.344738123043048E-3</v>
      </c>
      <c r="TW52" s="414">
        <f t="shared" si="171"/>
        <v>0</v>
      </c>
      <c r="TX52" s="414">
        <f t="shared" si="197"/>
        <v>1.2477420447678789E-2</v>
      </c>
      <c r="TY52" s="414">
        <f t="shared" si="172"/>
        <v>1.2579323979717008E-3</v>
      </c>
      <c r="TZ52" s="414">
        <f t="shared" si="173"/>
        <v>3.3102918540369179E-3</v>
      </c>
      <c r="UA52" s="414">
        <f t="shared" si="174"/>
        <v>9.2561585861403832E-3</v>
      </c>
      <c r="UC52" s="413" t="str">
        <f t="shared" si="198"/>
        <v>Process
1</v>
      </c>
      <c r="UD52" s="413" t="str">
        <f t="shared" si="175"/>
        <v>Thread 0</v>
      </c>
      <c r="UE52" s="414">
        <f t="shared" si="176"/>
        <v>7.1560323090866088E-4</v>
      </c>
      <c r="UF52" s="414" t="str">
        <f t="shared" si="177"/>
        <v/>
      </c>
      <c r="UG52" s="414" t="str">
        <f t="shared" si="178"/>
        <v/>
      </c>
      <c r="UH52" s="414" t="str">
        <f t="shared" si="179"/>
        <v/>
      </c>
      <c r="UI52" s="414" t="str">
        <f t="shared" si="180"/>
        <v/>
      </c>
      <c r="UJ52" s="414" t="str">
        <f t="shared" si="181"/>
        <v/>
      </c>
      <c r="UK52" s="414">
        <f t="shared" si="182"/>
        <v>2.7034348916632693E-2</v>
      </c>
      <c r="UL52" s="414" t="str">
        <f t="shared" si="183"/>
        <v/>
      </c>
      <c r="UM52" s="414" t="str">
        <f t="shared" si="184"/>
        <v/>
      </c>
      <c r="UN52" s="414">
        <f t="shared" si="185"/>
        <v>1.7360946443587811E-2</v>
      </c>
      <c r="UO52" s="414" t="str">
        <f t="shared" si="186"/>
        <v/>
      </c>
      <c r="UP52" s="414">
        <f t="shared" si="187"/>
        <v>1.344738123043048E-3</v>
      </c>
      <c r="UQ52" s="414">
        <f t="shared" si="188"/>
        <v>0</v>
      </c>
      <c r="UR52" s="414">
        <f t="shared" si="189"/>
        <v>1.2477420447678789E-2</v>
      </c>
      <c r="US52" s="414">
        <f t="shared" si="190"/>
        <v>1.2579323979717008E-3</v>
      </c>
      <c r="UT52" s="414">
        <f t="shared" si="191"/>
        <v>3.3102918540369179E-3</v>
      </c>
      <c r="UU52" s="414" t="str">
        <f t="shared" si="192"/>
        <v/>
      </c>
      <c r="UV52" s="414" t="str">
        <f t="shared" si="193"/>
        <v/>
      </c>
      <c r="UW52" s="414" t="str">
        <f t="shared" si="194"/>
        <v/>
      </c>
      <c r="UX52" s="414">
        <f t="shared" si="195"/>
        <v>9.2561585861403832E-3</v>
      </c>
      <c r="VI52" s="2"/>
      <c r="VJ52" s="2"/>
      <c r="VK52" s="2"/>
    </row>
    <row r="53" spans="400:583" ht="15.75" customHeight="1">
      <c r="RJ53" s="577">
        <v>8</v>
      </c>
      <c r="RK53" s="577" t="str">
        <f>IF(OR(COUNT($KW38:$KW49)=0,COUNT($KX38:$KX49)=0,COUNT($KY38:$KY49)=0,COUNT($LU38:$LU49)=0,COUNT($LV38:$LV49)=0,$C$8="",$NC$42=""),"",IF($NC$42=0,0,
  GuardLimitLower(
    (($KW38 - $KX38 - $KY38)
     - $LU38 + $LV38)*$C$8/10^9/$NC$42,
    data_GuardLimitFlag,
    0) ))</f>
        <v/>
      </c>
      <c r="RL53" s="577" t="str">
        <f t="shared" si="199"/>
        <v/>
      </c>
      <c r="TQ53" s="413" t="str">
        <f t="shared" si="196"/>
        <v/>
      </c>
      <c r="TR53" s="413" t="str">
        <f t="shared" si="166"/>
        <v>Thread 1</v>
      </c>
      <c r="TS53" s="414">
        <f t="shared" si="167"/>
        <v>6.915161308028245E-4</v>
      </c>
      <c r="TT53" s="414">
        <f t="shared" si="168"/>
        <v>2.8596689288485862E-2</v>
      </c>
      <c r="TU53" s="414">
        <f t="shared" si="169"/>
        <v>1.6943455669563987E-2</v>
      </c>
      <c r="TV53" s="414">
        <f t="shared" si="170"/>
        <v>1.3672644172169118E-3</v>
      </c>
      <c r="TW53" s="414">
        <f t="shared" si="171"/>
        <v>0</v>
      </c>
      <c r="TX53" s="414">
        <f t="shared" si="197"/>
        <v>1.1540990750177157E-2</v>
      </c>
      <c r="TY53" s="414">
        <f t="shared" si="172"/>
        <v>7.6231063731351781E-4</v>
      </c>
      <c r="TZ53" s="414">
        <f t="shared" si="173"/>
        <v>3.407143949741006E-3</v>
      </c>
      <c r="UA53" s="414">
        <f t="shared" si="174"/>
        <v>9.4042291566987356E-3</v>
      </c>
      <c r="UC53" s="413" t="str">
        <f t="shared" si="198"/>
        <v/>
      </c>
      <c r="UD53" s="413" t="str">
        <f t="shared" si="175"/>
        <v>Thread 1</v>
      </c>
      <c r="UE53" s="414">
        <f t="shared" si="176"/>
        <v>6.915161308028245E-4</v>
      </c>
      <c r="UF53" s="414" t="str">
        <f t="shared" si="177"/>
        <v/>
      </c>
      <c r="UG53" s="414" t="str">
        <f t="shared" si="178"/>
        <v/>
      </c>
      <c r="UH53" s="414" t="str">
        <f t="shared" si="179"/>
        <v/>
      </c>
      <c r="UI53" s="414" t="str">
        <f t="shared" si="180"/>
        <v/>
      </c>
      <c r="UJ53" s="414" t="str">
        <f t="shared" si="181"/>
        <v/>
      </c>
      <c r="UK53" s="414">
        <f t="shared" si="182"/>
        <v>2.8596689288485862E-2</v>
      </c>
      <c r="UL53" s="414" t="str">
        <f t="shared" si="183"/>
        <v/>
      </c>
      <c r="UM53" s="414" t="str">
        <f t="shared" si="184"/>
        <v/>
      </c>
      <c r="UN53" s="414">
        <f t="shared" si="185"/>
        <v>1.6943455669563987E-2</v>
      </c>
      <c r="UO53" s="414" t="str">
        <f t="shared" si="186"/>
        <v/>
      </c>
      <c r="UP53" s="414">
        <f t="shared" si="187"/>
        <v>1.3672644172169118E-3</v>
      </c>
      <c r="UQ53" s="414">
        <f t="shared" si="188"/>
        <v>0</v>
      </c>
      <c r="UR53" s="414">
        <f t="shared" si="189"/>
        <v>1.1540990750177157E-2</v>
      </c>
      <c r="US53" s="414">
        <f t="shared" si="190"/>
        <v>7.6231063731351781E-4</v>
      </c>
      <c r="UT53" s="414">
        <f t="shared" si="191"/>
        <v>3.407143949741006E-3</v>
      </c>
      <c r="UU53" s="414" t="str">
        <f t="shared" si="192"/>
        <v/>
      </c>
      <c r="UV53" s="414" t="str">
        <f t="shared" si="193"/>
        <v/>
      </c>
      <c r="UW53" s="414" t="str">
        <f t="shared" si="194"/>
        <v/>
      </c>
      <c r="UX53" s="414">
        <f t="shared" si="195"/>
        <v>9.4042291566987356E-3</v>
      </c>
      <c r="VA53" s="415"/>
      <c r="VI53" s="2"/>
      <c r="VJ53" s="2"/>
      <c r="VK53" s="2"/>
    </row>
    <row r="54" spans="400:583" ht="17">
      <c r="RJ54" s="577">
        <v>9</v>
      </c>
      <c r="RK54" s="577" t="str">
        <f>IF(OR(COUNT($KW39:$KW50)=0,COUNT($KX39:$KX50)=0,COUNT($KY39:$KY50)=0,COUNT($LU39:$LU50)=0,COUNT($LV39:$LV50)=0,$C$8="",$NC$42=""),"",IF($NC$42=0,0,
  GuardLimitLower(
    (($KW39 - $KX39 - $KY39)
     - $LU39 + $LV39)*$C$8/10^9/$NC$42,
    data_GuardLimitFlag,
    0) ))</f>
        <v/>
      </c>
      <c r="RL54" s="577" t="str">
        <f t="shared" si="199"/>
        <v/>
      </c>
      <c r="TK54" s="254"/>
      <c r="TL54" s="420"/>
      <c r="TM54" s="421"/>
      <c r="TN54" s="422"/>
      <c r="TQ54" s="413" t="str">
        <f t="shared" si="196"/>
        <v/>
      </c>
      <c r="TR54" s="413" t="str">
        <f t="shared" si="166"/>
        <v>Thread 2</v>
      </c>
      <c r="TS54" s="414">
        <f t="shared" si="167"/>
        <v>7.2017540846906942E-4</v>
      </c>
      <c r="TT54" s="414">
        <f t="shared" si="168"/>
        <v>2.739051186419247E-2</v>
      </c>
      <c r="TU54" s="414">
        <f t="shared" si="169"/>
        <v>1.6990694925697925E-2</v>
      </c>
      <c r="TV54" s="414">
        <f t="shared" si="170"/>
        <v>1.5557273862402438E-3</v>
      </c>
      <c r="TW54" s="414">
        <f t="shared" si="171"/>
        <v>0</v>
      </c>
      <c r="TX54" s="414">
        <f t="shared" si="197"/>
        <v>1.181406054749418E-2</v>
      </c>
      <c r="TY54" s="414">
        <f t="shared" si="172"/>
        <v>1.2648271967144896E-3</v>
      </c>
      <c r="TZ54" s="414">
        <f t="shared" si="173"/>
        <v>3.5620718981288764E-3</v>
      </c>
      <c r="UA54" s="414">
        <f t="shared" si="174"/>
        <v>9.4324907730627457E-3</v>
      </c>
      <c r="UC54" s="413" t="str">
        <f t="shared" si="198"/>
        <v/>
      </c>
      <c r="UD54" s="413" t="str">
        <f t="shared" si="175"/>
        <v>Thread 2</v>
      </c>
      <c r="UE54" s="414">
        <f t="shared" si="176"/>
        <v>7.2017540846906942E-4</v>
      </c>
      <c r="UF54" s="414" t="str">
        <f t="shared" si="177"/>
        <v/>
      </c>
      <c r="UG54" s="414" t="str">
        <f t="shared" si="178"/>
        <v/>
      </c>
      <c r="UH54" s="414" t="str">
        <f t="shared" si="179"/>
        <v/>
      </c>
      <c r="UI54" s="414" t="str">
        <f t="shared" si="180"/>
        <v/>
      </c>
      <c r="UJ54" s="414" t="str">
        <f t="shared" si="181"/>
        <v/>
      </c>
      <c r="UK54" s="414">
        <f t="shared" si="182"/>
        <v>2.739051186419247E-2</v>
      </c>
      <c r="UL54" s="414" t="str">
        <f t="shared" si="183"/>
        <v/>
      </c>
      <c r="UM54" s="414" t="str">
        <f t="shared" si="184"/>
        <v/>
      </c>
      <c r="UN54" s="414">
        <f t="shared" si="185"/>
        <v>1.6990694925697925E-2</v>
      </c>
      <c r="UO54" s="414" t="str">
        <f t="shared" si="186"/>
        <v/>
      </c>
      <c r="UP54" s="414">
        <f t="shared" si="187"/>
        <v>1.5557273862402438E-3</v>
      </c>
      <c r="UQ54" s="414">
        <f t="shared" si="188"/>
        <v>0</v>
      </c>
      <c r="UR54" s="414">
        <f t="shared" si="189"/>
        <v>1.181406054749418E-2</v>
      </c>
      <c r="US54" s="414">
        <f t="shared" si="190"/>
        <v>1.2648271967144896E-3</v>
      </c>
      <c r="UT54" s="414">
        <f t="shared" si="191"/>
        <v>3.5620718981288764E-3</v>
      </c>
      <c r="UU54" s="414" t="str">
        <f t="shared" si="192"/>
        <v/>
      </c>
      <c r="UV54" s="414" t="str">
        <f t="shared" si="193"/>
        <v/>
      </c>
      <c r="UW54" s="414" t="str">
        <f t="shared" si="194"/>
        <v/>
      </c>
      <c r="UX54" s="414">
        <f t="shared" si="195"/>
        <v>9.4324907730627457E-3</v>
      </c>
      <c r="VI54" s="2"/>
      <c r="VJ54" s="2"/>
      <c r="VK54" s="2"/>
    </row>
    <row r="55" spans="400:583">
      <c r="RJ55" s="577">
        <v>10</v>
      </c>
      <c r="RK55" s="577" t="str">
        <f>IF(OR(COUNT($KW40:$KW51)=0,COUNT($KX40:$KX51)=0,COUNT($KY40:$KY51)=0,COUNT($LU40:$LU51)=0,COUNT($LV40:$LV51)=0,$C$8="",$NC$42=""),"",IF($NC$42=0,0,
  GuardLimitLower(
    (($KW40 - $KX40 - $KY40)
     - $LU40 + $LV40)*$C$8/10^9/$NC$42,
    data_GuardLimitFlag,
    0) ))</f>
        <v/>
      </c>
      <c r="RL55" s="577" t="str">
        <f t="shared" si="199"/>
        <v/>
      </c>
      <c r="VI55" s="2"/>
      <c r="VJ55" s="2"/>
      <c r="VK55" s="2"/>
    </row>
    <row r="56" spans="400:583">
      <c r="RJ56" s="577">
        <v>11</v>
      </c>
      <c r="RK56" s="577" t="str">
        <f>IF(OR(COUNT($KW41:$KW52)=0,COUNT($KX41:$KX52)=0,COUNT($KY41:$KY52)=0,COUNT($LU41:$LU52)=0,COUNT($LV41:$LV52)=0,$C$8="",$NC$42=""),"",IF($NC$42=0,0,
  GuardLimitLower(
    (($KW41 - $KX41 - $KY41)
     - $LU41 + $LV41)*$C$8/10^9/$NC$42,
    data_GuardLimitFlag,
    0) ))</f>
        <v/>
      </c>
      <c r="RL56" s="577" t="str">
        <f t="shared" si="199"/>
        <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MAEDA Ryunosuke</cp:lastModifiedBy>
  <cp:lastPrinted>2020-02-20T01:46:32Z</cp:lastPrinted>
  <dcterms:created xsi:type="dcterms:W3CDTF">2019-09-06T08:20:08Z</dcterms:created>
  <dcterms:modified xsi:type="dcterms:W3CDTF">2024-10-15T05:45:09Z</dcterms:modified>
  <cp:category/>
</cp:coreProperties>
</file>