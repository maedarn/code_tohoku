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
    </mc:Choice>
  </mc:AlternateContent>
  <xr:revisionPtr revIDLastSave="0" documentId="13_ncr:1_{F42957F8-9296-F84C-8CB8-22EDAA17C78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5720" yWindow="-31500" windowWidth="34560" windowHeight="1994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OT41" i="25"/>
  <c r="OS41" i="25"/>
  <c r="NL41" i="25"/>
  <c r="OS40" i="25"/>
  <c r="OT40" i="25"/>
  <c r="NL40" i="25"/>
  <c r="NL39" i="25"/>
  <c r="OT39" i="25"/>
  <c r="OS39" i="25"/>
  <c r="OT38" i="25"/>
  <c r="OS38" i="25"/>
  <c r="NL38" i="25"/>
  <c r="OT37" i="25"/>
  <c r="NL37" i="25"/>
  <c r="OS37" i="25"/>
  <c r="NL36" i="25"/>
  <c r="OS36" i="25"/>
  <c r="OT36" i="25"/>
  <c r="OT35" i="25"/>
  <c r="NL35" i="25"/>
  <c r="OS35" i="25"/>
  <c r="NL34" i="25"/>
  <c r="OS34" i="25"/>
  <c r="OT34" i="25"/>
  <c r="OS33" i="25"/>
  <c r="NL33" i="25"/>
  <c r="OT33" i="25"/>
  <c r="NL32" i="25"/>
  <c r="OT32" i="25"/>
  <c r="OS32" i="25"/>
  <c r="NL31" i="25"/>
  <c r="OT31" i="25"/>
  <c r="OS31" i="25"/>
  <c r="NL30" i="25"/>
  <c r="OS30" i="25"/>
  <c r="NL42" i="25"/>
  <c r="OT30" i="25"/>
  <c r="OT42"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QB31" i="25"/>
  <c r="QB41" i="25"/>
  <c r="NW30" i="25"/>
  <c r="NO30" i="25"/>
  <c r="PW39" i="25"/>
  <c r="QB38" i="25"/>
  <c r="PG37" i="25"/>
  <c r="PP40"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QB37" i="25"/>
  <c r="NV30" i="25"/>
  <c r="PP38" i="25"/>
  <c r="PW30" i="25"/>
  <c r="PP32" i="25"/>
  <c r="NZ30" i="25"/>
  <c r="QB30" i="25"/>
  <c r="PT41" i="25"/>
  <c r="PL41" i="25"/>
  <c r="PT40" i="25"/>
  <c r="PL40" i="25"/>
  <c r="PL39" i="25"/>
  <c r="PT39" i="25"/>
  <c r="PL38" i="25"/>
  <c r="PT38" i="25"/>
  <c r="PL37" i="25"/>
  <c r="PT37" i="25"/>
  <c r="PT36" i="25"/>
  <c r="PL36" i="25"/>
  <c r="PT35" i="25"/>
  <c r="PL35" i="25"/>
  <c r="PT34" i="25"/>
  <c r="PL34" i="25"/>
  <c r="PL33" i="25"/>
  <c r="PT33" i="25"/>
  <c r="PT32" i="25"/>
  <c r="PL32" i="25"/>
  <c r="PL31" i="25"/>
  <c r="PT31" i="25"/>
  <c r="PT30" i="25"/>
  <c r="PG41" i="25" l="1"/>
  <c r="PG33" i="25"/>
  <c r="PG36" i="25"/>
  <c r="L61" i="9" s="1"/>
  <c r="PG35" i="25"/>
  <c r="L60" i="9" s="1"/>
  <c r="PG38" i="25"/>
  <c r="L63" i="9" s="1"/>
  <c r="J57" i="9"/>
  <c r="PF32" i="25"/>
  <c r="K57" i="9" s="1"/>
  <c r="J56" i="9"/>
  <c r="PF31" i="25"/>
  <c r="K56" i="9" s="1"/>
  <c r="J55" i="9"/>
  <c r="PF30" i="25"/>
  <c r="K55" i="9" s="1"/>
  <c r="PE42" i="25"/>
  <c r="PG42" i="25" s="1"/>
  <c r="L62" i="9"/>
  <c r="L56" i="9"/>
  <c r="L55" i="9"/>
  <c r="L58" i="9"/>
  <c r="L66"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54"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V40" i="25" s="1"/>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V34" i="25" s="1"/>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Z33" i="25"/>
  <c r="NZ32" i="25"/>
  <c r="NO31" i="25"/>
  <c r="OH40" i="25"/>
  <c r="OH34" i="25"/>
  <c r="OH37" i="25"/>
  <c r="NO33" i="25"/>
  <c r="NW31" i="25"/>
  <c r="OH32" i="25"/>
  <c r="OH33" i="25"/>
  <c r="NZ35" i="25"/>
  <c r="NW41" i="25"/>
  <c r="NW38" i="25"/>
  <c r="NZ41" i="25"/>
  <c r="NZ38" i="25"/>
  <c r="RK55" i="25"/>
  <c r="NV39" i="25"/>
  <c r="RK52" i="25"/>
  <c r="NO41" i="25"/>
  <c r="RK45" i="25"/>
  <c r="OH39" i="25"/>
  <c r="NO36" i="25"/>
  <c r="NZ31" i="25"/>
  <c r="OH38" i="25"/>
  <c r="NZ39" i="25"/>
  <c r="NO39" i="25"/>
  <c r="NO40" i="25"/>
  <c r="NO34" i="25"/>
  <c r="NW37" i="25"/>
  <c r="OH36" i="25"/>
  <c r="NZ40" i="25"/>
  <c r="OH35" i="25"/>
  <c r="NW34" i="25"/>
  <c r="OH41" i="25"/>
  <c r="NZ37" i="25"/>
  <c r="NW32" i="25"/>
  <c r="NZ34" i="25"/>
  <c r="NW39" i="25"/>
  <c r="NO38" i="25"/>
  <c r="NV35" i="25"/>
  <c r="NO35" i="25"/>
  <c r="NW40" i="25"/>
  <c r="OH31" i="25"/>
  <c r="NO32" i="25"/>
  <c r="NW35" i="25"/>
  <c r="NO37" i="25"/>
  <c r="NW33" i="25"/>
  <c r="RK48" i="25" l="1"/>
  <c r="RK50" i="25"/>
  <c r="RK51" i="25"/>
  <c r="RK49" i="25"/>
  <c r="RK56" i="25"/>
  <c r="RK53" i="25"/>
  <c r="RL30" i="25" s="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41" i="25"/>
  <c r="QM38" i="25"/>
  <c r="QM33" i="25"/>
  <c r="QM40" i="25"/>
  <c r="QM32" i="25"/>
  <c r="QM35" i="25"/>
  <c r="QM34" i="25"/>
  <c r="QM36" i="25"/>
  <c r="QM30" i="25"/>
  <c r="QM31"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<sst xmlns="http://schemas.openxmlformats.org/spreadsheetml/2006/main" count="2929" uniqueCount="1996">
  <si>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</si>
  <si>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</si>
  <si>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</si>
  <si>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</si>
  <si>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</si>
  <si>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</si>
  <si>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</si>
  <si>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</si>
  <si>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</si>
  <si>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</si>
  <si>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</si>
  <si>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</si>
  <si>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</si>
  <si>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</si>
  <si>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</si>
  <si>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</si>
  <si>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</si>
  <si>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</si>
  <si>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</si>
  <si>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</si>
  <si>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</si>
  <si>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</si>
  <si>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</si>
  <si>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</si>
  <si>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</si>
  <si>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</si>
  <si>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</si>
  <si>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</si>
  <si>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</si>
  <si>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</si>
  <si>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</si>
  <si>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</si>
  <si>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</si>
  <si>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</si>
  <si>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</si>
  <si>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</si>
  <si>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</si>
  <si>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</si>
  <si>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</si>
  <si>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</si>
  <si>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</si>
  <si>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</si>
  <si>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</si>
  <si>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</si>
  <si>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</si>
  <si>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</si>
  <si>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</si>
  <si>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</si>
  <si>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</si>
  <si>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</si>
  <si>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</si>
  <si>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</si>
  <si>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</si>
  <si>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</si>
  <si>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</si>
  <si>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</si>
  <si>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</si>
  <si>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</si>
  <si>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</si>
  <si>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</si>
  <si>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</si>
  <si>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</si>
  <si>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</si>
  <si>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</si>
  <si>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</si>
  <si>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</si>
  <si>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</si>
  <si>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</si>
  <si>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</si>
  <si>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</si>
  <si>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</si>
  <si>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</si>
  <si>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</si>
  <si>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</si>
  <si>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</si>
  <si>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</si>
  <si>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</si>
  <si>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</si>
  <si>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</si>
  <si>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</si>
  <si>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</si>
  <si>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</si>
  <si>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</si>
  <si>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</si>
  <si>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</si>
  <si>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</si>
  <si>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</si>
  <si>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</si>
  <si>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</si>
  <si>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</si>
  <si>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</si>
  <si>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</si>
  <si>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</si>
  <si>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</si>
  <si>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</si>
  <si>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</si>
  <si>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</si>
  <si>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</si>
  <si>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</si>
  <si>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</si>
  <si>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</si>
  <si>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</si>
  <si>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</si>
  <si>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</si>
  <si>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</si>
  <si>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</si>
  <si>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</si>
  <si>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</si>
  <si>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</si>
  <si>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</si>
  <si>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</si>
  <si>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</si>
  <si>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</si>
  <si>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</si>
  <si>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</si>
  <si>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</si>
  <si>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</si>
  <si>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</si>
  <si>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</si>
  <si>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</si>
  <si>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</si>
  <si>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</si>
  <si>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</si>
  <si>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</si>
  <si>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</si>
  <si>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</si>
  <si>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</si>
  <si>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</si>
  <si>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</si>
  <si>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</si>
  <si>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</si>
  <si>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</si>
  <si>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</si>
  <si>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</si>
  <si>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</si>
  <si>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</si>
  <si>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</si>
  <si>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</si>
  <si>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</si>
  <si>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</si>
  <si>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</si>
  <si>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</si>
  <si>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</si>
  <si>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</si>
  <si>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</si>
  <si>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</si>
  <si>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</si>
  <si>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</si>
  <si>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</si>
  <si>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</si>
  <si>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</si>
  <si>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</si>
  <si>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</si>
  <si>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</si>
  <si>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</si>
  <si>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</si>
  <si>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</si>
  <si>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</si>
  <si>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</si>
  <si>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</si>
  <si>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</si>
  <si>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</si>
  <si>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</si>
  <si>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</si>
  <si>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</si>
  <si>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</si>
  <si>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</si>
  <si>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</si>
  <si>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</si>
  <si>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</si>
  <si>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</si>
  <si>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</si>
  <si>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</si>
  <si>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</si>
  <si>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</si>
  <si>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</si>
  <si>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</si>
  <si>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</si>
  <si>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</si>
  <si>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</si>
  <si>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</si>
  <si>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</si>
  <si>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</si>
  <si>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</si>
  <si>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</si>
  <si>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</si>
  <si>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</si>
  <si>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</si>
  <si>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</si>
  <si>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</si>
  <si>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</si>
  <si>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</si>
  <si>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</si>
  <si>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</si>
  <si>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</si>
  <si>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</si>
  <si>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</si>
  <si>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</si>
  <si>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</si>
  <si>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</si>
  <si>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</si>
  <si>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</si>
  <si>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</si>
  <si>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</si>
  <si>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</si>
  <si>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</si>
  <si>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</si>
  <si>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</si>
  <si>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</si>
  <si>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</si>
  <si>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</si>
  <si>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</si>
  <si>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</si>
  <si>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</si>
  <si>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</si>
  <si>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</si>
  <si>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</si>
  <si>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</si>
  <si>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</si>
  <si>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</si>
  <si>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</si>
  <si>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</si>
  <si>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</si>
  <si>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</si>
  <si>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</si>
  <si>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</si>
  <si>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</si>
  <si>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</si>
  <si>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</si>
  <si>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</si>
  <si>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</si>
  <si>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</si>
  <si>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</si>
  <si>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</si>
  <si>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</si>
  <si>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</si>
  <si>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</si>
  <si>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</si>
  <si>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</si>
  <si>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</si>
  <si>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</si>
  <si>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</si>
  <si>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</si>
  <si>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</si>
  <si>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</si>
  <si>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</si>
  <si>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</si>
  <si>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</si>
  <si>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</si>
  <si>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</si>
  <si>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</si>
  <si>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</si>
  <si>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</si>
  <si>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</si>
  <si>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</si>
  <si>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</si>
  <si>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</si>
  <si>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</si>
  <si>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</si>
  <si>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</si>
  <si>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</si>
  <si>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</si>
  <si>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</si>
  <si>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</si>
  <si>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</si>
  <si>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</si>
  <si>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</si>
  <si>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</si>
  <si>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</si>
  <si>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</si>
  <si>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</si>
  <si>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</si>
  <si>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</si>
  <si>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</si>
  <si>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</si>
  <si>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</si>
  <si>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</si>
  <si>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</si>
  <si>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</si>
  <si>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</si>
  <si>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</si>
  <si>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</si>
  <si>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</si>
  <si>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</si>
  <si>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</si>
  <si>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</si>
  <si>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</si>
  <si>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</si>
  <si>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</si>
  <si>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</si>
  <si>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</si>
  <si>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</si>
  <si>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</si>
  <si>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</si>
  <si>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</si>
  <si>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</si>
  <si>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</si>
  <si>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</si>
  <si>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</si>
  <si>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</si>
  <si>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</si>
  <si>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</si>
  <si>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</si>
  <si>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</si>
  <si>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</si>
  <si>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</si>
  <si>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</si>
  <si>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</si>
  <si>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</si>
  <si>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</si>
  <si>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</si>
  <si>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</si>
  <si>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</si>
  <si>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</si>
  <si>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</si>
  <si>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</si>
  <si>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</si>
  <si>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</si>
  <si>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</si>
  <si>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</si>
  <si>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</si>
  <si>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</si>
  <si>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</si>
  <si>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</si>
  <si>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</si>
  <si>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</si>
  <si>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</si>
  <si>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</si>
  <si>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</si>
  <si>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</si>
  <si>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</si>
  <si>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</si>
  <si>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</si>
  <si>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</si>
  <si>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</si>
  <si>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</si>
  <si>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</si>
  <si>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</si>
  <si>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</si>
  <si>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</si>
  <si>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</si>
  <si>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</si>
  <si>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</si>
  <si>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</si>
  <si>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</si>
  <si>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</si>
  <si>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</si>
  <si>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</si>
  <si>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</si>
  <si>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</si>
  <si>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</si>
  <si>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</si>
  <si>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</si>
  <si>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</si>
  <si>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</si>
  <si>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</si>
  <si>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</si>
  <si>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</si>
  <si>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</si>
  <si>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</si>
  <si>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</si>
  <si>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</si>
  <si>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</si>
  <si>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</si>
  <si>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</si>
  <si>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</si>
  <si>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</si>
  <si>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</si>
  <si>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</si>
  <si>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</si>
  <si>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</si>
  <si>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</si>
  <si>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</si>
  <si>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</si>
  <si>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</si>
  <si>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</si>
  <si>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</si>
  <si>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</si>
  <si>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</si>
  <si>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</si>
  <si>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</si>
  <si>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</si>
  <si>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</si>
  <si>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</si>
  <si>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</si>
  <si>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</si>
  <si>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</si>
  <si>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</si>
  <si>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</si>
  <si>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</si>
  <si>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</si>
  <si>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</si>
  <si>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</si>
  <si>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</si>
  <si>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</si>
  <si>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</si>
  <si>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</si>
  <si>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</si>
  <si>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</si>
  <si>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</si>
  <si>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</si>
  <si>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</si>
  <si>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</si>
  <si>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</si>
  <si>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</si>
  <si>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</si>
  <si>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</si>
  <si>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</si>
  <si>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</si>
  <si>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</si>
  <si>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</si>
  <si>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</si>
  <si>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</si>
  <si>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</si>
  <si>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</si>
  <si>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</si>
  <si>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</si>
  <si>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</si>
  <si>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</si>
  <si>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</si>
  <si>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</si>
  <si>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</si>
  <si>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</si>
  <si>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</si>
  <si>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</si>
  <si>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</si>
  <si>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</si>
  <si>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</si>
  <si>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</si>
  <si>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</si>
  <si>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</si>
  <si>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</si>
  <si>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</si>
  <si>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</si>
  <si>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</si>
  <si>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</si>
  <si>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</si>
  <si>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</si>
  <si>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</si>
  <si>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</si>
  <si>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</si>
  <si>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</si>
  <si>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</si>
  <si>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</si>
  <si>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</si>
  <si>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</si>
  <si>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</si>
  <si>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</si>
  <si>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</si>
  <si>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</si>
  <si>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</si>
  <si>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</si>
  <si>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</si>
  <si>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</si>
  <si>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</si>
  <si>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</si>
  <si>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</si>
  <si>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</si>
  <si>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</si>
  <si>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</si>
  <si>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</si>
  <si>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</si>
  <si>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</si>
  <si>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</si>
  <si>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</si>
  <si>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</si>
  <si>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</si>
  <si>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</si>
  <si>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</si>
  <si>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</si>
  <si>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</si>
  <si>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</si>
  <si>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</si>
  <si>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</si>
  <si>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</si>
  <si>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</si>
  <si>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</si>
  <si>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</si>
  <si>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</si>
  <si>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</si>
  <si>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</si>
  <si>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</si>
  <si>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</si>
  <si>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</si>
  <si>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</si>
  <si>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</si>
  <si>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</si>
  <si>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</si>
  <si>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</si>
  <si>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</si>
  <si>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</si>
  <si>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</si>
  <si>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</si>
  <si>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</si>
  <si>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</si>
  <si>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</si>
  <si>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</si>
  <si>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</si>
  <si>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</si>
  <si>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</si>
  <si>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</si>
  <si>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</si>
  <si>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</si>
  <si>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</si>
  <si>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</si>
  <si>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</si>
  <si>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</si>
  <si>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</si>
  <si>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</si>
  <si>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</si>
  <si>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</si>
  <si>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</si>
  <si>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</si>
  <si>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</si>
  <si>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</si>
  <si>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</si>
  <si>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</si>
  <si>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</si>
  <si>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</si>
  <si>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</si>
  <si>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</si>
  <si>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</si>
  <si>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</si>
  <si>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</si>
  <si>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</si>
  <si>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</si>
  <si>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</si>
  <si>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</si>
  <si>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</si>
  <si>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</si>
  <si>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</si>
  <si>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</si>
  <si>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</si>
  <si>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</si>
  <si>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</si>
  <si>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</si>
  <si>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</si>
  <si>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</si>
  <si>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</si>
  <si>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</si>
  <si>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</si>
  <si>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</si>
  <si>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</si>
  <si>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</si>
  <si>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</si>
  <si>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</si>
  <si>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</si>
  <si>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</si>
  <si>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</si>
  <si>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</si>
  <si>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</si>
  <si>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</si>
  <si>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</si>
  <si>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</si>
  <si>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</si>
  <si>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</si>
  <si>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</si>
  <si>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</si>
  <si>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</si>
  <si>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</si>
  <si>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</si>
  <si>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</si>
  <si>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</si>
  <si>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</si>
  <si>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</si>
  <si>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</si>
  <si>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</si>
  <si>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</si>
  <si>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</si>
  <si>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</si>
  <si>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</si>
  <si>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</si>
  <si>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</si>
  <si>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</si>
  <si>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</si>
  <si>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</si>
  <si>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</si>
  <si>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</si>
  <si>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</si>
  <si>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</si>
  <si>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</si>
  <si>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</si>
  <si>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</si>
  <si>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</si>
  <si>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</si>
  <si>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</si>
  <si>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</si>
  <si>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</si>
  <si>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</si>
  <si>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</si>
  <si>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</si>
  <si>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</si>
  <si>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</si>
  <si>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</si>
  <si>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</si>
  <si>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</si>
  <si>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</si>
  <si>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</si>
  <si>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</si>
  <si>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</si>
  <si>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</si>
  <si>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</si>
  <si>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</si>
  <si>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</si>
  <si>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</si>
  <si>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</si>
  <si>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</si>
  <si>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</si>
  <si>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</si>
  <si>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</si>
  <si>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</si>
  <si>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</si>
  <si>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</si>
  <si>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</si>
  <si>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</si>
  <si>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</si>
  <si>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</si>
  <si>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</si>
  <si>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</si>
  <si>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</si>
  <si>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</si>
  <si>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</si>
  <si>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</si>
  <si>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</si>
  <si>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</si>
  <si>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</si>
  <si>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</si>
  <si>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</si>
  <si>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</si>
  <si>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</si>
  <si>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</si>
  <si>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</si>
  <si>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</si>
  <si>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</si>
  <si>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</si>
  <si>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</si>
  <si>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</si>
  <si>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</si>
  <si>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</si>
  <si>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</si>
  <si>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</si>
  <si>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</si>
  <si>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</si>
  <si>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</si>
  <si>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</si>
  <si>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</si>
  <si>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</si>
  <si>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</si>
  <si>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</si>
  <si>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</si>
  <si>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</si>
  <si>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</si>
  <si>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</si>
  <si>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</si>
  <si>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</si>
  <si>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</si>
  <si>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</si>
  <si>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</si>
  <si>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</si>
  <si>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</si>
  <si>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</si>
  <si>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</si>
  <si>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</si>
  <si>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</si>
  <si>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</si>
  <si>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</si>
  <si>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</si>
  <si>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</si>
  <si>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</si>
  <si>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</si>
  <si>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</si>
  <si>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</si>
  <si>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</si>
  <si>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</si>
  <si>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</si>
  <si>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</si>
  <si>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</si>
  <si>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</si>
  <si>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</si>
  <si>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</si>
  <si>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</si>
  <si>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</si>
  <si>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</si>
  <si>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</si>
  <si>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</si>
  <si>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</si>
  <si>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</si>
  <si>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</si>
  <si>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</si>
  <si>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</si>
  <si>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</si>
  <si>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</si>
  <si>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</si>
  <si>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</si>
  <si>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</si>
  <si>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</si>
  <si>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</si>
  <si>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</si>
  <si>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</si>
  <si>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</si>
  <si>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</si>
  <si>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</si>
  <si>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</si>
  <si>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</si>
  <si>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</si>
  <si>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</si>
  <si>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</si>
  <si>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</si>
  <si>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</si>
  <si>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</si>
  <si>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</si>
  <si>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</si>
  <si>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</si>
  <si>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</si>
  <si>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</si>
  <si>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</si>
  <si>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</si>
  <si>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</si>
  <si>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</si>
  <si>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</si>
  <si>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</si>
  <si>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</si>
  <si>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</si>
  <si>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</si>
  <si>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</si>
  <si>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</si>
  <si>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</si>
  <si>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</si>
  <si>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</si>
  <si>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</si>
  <si>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</si>
  <si>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</si>
  <si>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</si>
  <si>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</si>
  <si>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</si>
  <si>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</si>
  <si>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</si>
  <si>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</si>
  <si>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</si>
  <si>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</si>
  <si>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</si>
  <si>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</si>
  <si>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</si>
  <si>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</si>
  <si>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</si>
  <si>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</si>
  <si>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</si>
  <si>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</si>
  <si>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</si>
  <si>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</si>
  <si>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</si>
  <si>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</si>
  <si>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</si>
  <si>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</si>
  <si>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</si>
  <si>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</si>
  <si>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</si>
  <si>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</si>
  <si>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</si>
  <si>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</si>
  <si>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</si>
  <si>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</si>
  <si>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</si>
  <si>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</si>
  <si>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</si>
  <si>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</si>
  <si>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</si>
  <si>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</si>
  <si>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</si>
  <si>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</si>
  <si>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</si>
  <si>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</si>
  <si>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</si>
  <si>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</si>
  <si>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</si>
  <si>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</si>
  <si>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</si>
  <si>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</si>
  <si>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</si>
  <si>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</si>
  <si>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</si>
  <si>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</si>
  <si>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</si>
  <si>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</si>
  <si>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</si>
  <si>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</si>
  <si>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</si>
  <si>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</si>
  <si>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</si>
  <si>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</si>
  <si>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</si>
  <si>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</si>
  <si>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</si>
  <si>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</si>
  <si>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</si>
  <si>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</si>
  <si>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</si>
  <si>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</si>
  <si>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</si>
  <si>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</si>
  <si>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</si>
  <si>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</si>
  <si>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</si>
  <si>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</si>
  <si>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</si>
  <si>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</si>
  <si>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</si>
  <si>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</si>
  <si>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</si>
  <si>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</si>
  <si>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</si>
  <si>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</si>
  <si>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</si>
  <si>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</si>
  <si>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</si>
  <si>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</si>
  <si>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</si>
  <si>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</si>
  <si>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</si>
  <si>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</si>
  <si>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</si>
  <si>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</si>
  <si>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</si>
  <si>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</si>
  <si>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</si>
  <si>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</si>
  <si>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</si>
  <si>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</si>
  <si>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</si>
  <si>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</si>
  <si>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</si>
  <si>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</si>
  <si>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</si>
  <si>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</si>
  <si>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</si>
  <si>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</si>
  <si>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</si>
  <si>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</si>
  <si>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</si>
  <si>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</si>
  <si>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</si>
  <si>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</si>
  <si>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</si>
  <si>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</si>
  <si>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</si>
  <si>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</si>
  <si>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</si>
  <si>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</si>
  <si>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</si>
  <si>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</si>
  <si>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</si>
  <si>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</si>
  <si>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</si>
  <si>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</si>
  <si>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</si>
  <si>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</si>
  <si>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</si>
  <si>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</si>
  <si>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</si>
  <si>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</si>
  <si>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</si>
  <si>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</si>
  <si>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</si>
  <si>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</si>
  <si>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</si>
  <si>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</si>
  <si>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</si>
  <si>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</si>
  <si>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</si>
  <si>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</si>
  <si>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</si>
  <si>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</si>
  <si>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</si>
  <si>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</si>
  <si>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</si>
  <si>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</si>
  <si>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</si>
  <si>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</si>
  <si>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</si>
  <si>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</si>
  <si>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</si>
  <si>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</si>
  <si>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</si>
  <si>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</si>
  <si>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</si>
  <si>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</si>
  <si>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</si>
  <si>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</si>
  <si>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</si>
  <si>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</si>
  <si>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</si>
  <si>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</si>
  <si>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</si>
  <si>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</si>
  <si>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</si>
  <si>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</si>
  <si>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</si>
  <si>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</si>
  <si>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</si>
  <si>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</si>
  <si>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</si>
  <si>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</si>
  <si>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</si>
  <si>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</si>
  <si>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</si>
  <si>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</si>
  <si>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</si>
  <si>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</si>
  <si>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</si>
  <si>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</si>
  <si>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</si>
  <si>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</si>
  <si>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</si>
  <si>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</si>
  <si>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</si>
  <si>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</si>
  <si>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</si>
  <si>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</si>
  <si>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</si>
  <si>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</si>
  <si>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</si>
  <si>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</si>
  <si>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</si>
  <si>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</si>
  <si>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</si>
  <si>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</si>
  <si>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</si>
  <si>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</si>
  <si>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</si>
  <si>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</si>
  <si>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</si>
  <si>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</si>
  <si>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</si>
  <si>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</si>
  <si>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</si>
  <si>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</si>
  <si>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</si>
  <si>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</si>
  <si>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</si>
  <si>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</si>
  <si>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</si>
  <si>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</si>
  <si>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</si>
  <si>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</si>
  <si>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</si>
  <si>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</si>
  <si>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</si>
  <si>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</si>
  <si>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</si>
  <si>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</si>
  <si>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</si>
  <si>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</si>
  <si>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</si>
  <si>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</si>
  <si>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</si>
  <si>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</si>
  <si>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</si>
  <si>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</si>
  <si>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</si>
  <si>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</si>
  <si>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</si>
  <si>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</si>
  <si>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</si>
  <si>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</si>
  <si>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</si>
  <si>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</si>
  <si>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</si>
  <si>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</si>
  <si>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</si>
  <si>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</si>
  <si>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</si>
  <si>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</si>
  <si>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</si>
  <si>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</si>
  <si>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</si>
  <si>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</si>
  <si>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</si>
  <si>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</si>
  <si>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</si>
  <si>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</si>
  <si>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</si>
  <si>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</si>
  <si>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</si>
  <si>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</si>
  <si>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</si>
  <si>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</si>
  <si>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</si>
  <si>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</si>
  <si>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</si>
  <si>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</si>
  <si>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</si>
  <si>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</si>
  <si>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</si>
  <si>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</si>
  <si>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</si>
  <si>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</si>
  <si>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</si>
  <si>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</si>
  <si>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</si>
  <si>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</si>
  <si>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</si>
  <si>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</si>
  <si>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</si>
  <si>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</si>
  <si>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</si>
  <si>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</si>
  <si>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</si>
  <si>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</si>
  <si>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</si>
  <si>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</si>
  <si>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</si>
  <si>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</si>
  <si>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</si>
  <si>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</si>
  <si>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</si>
  <si>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</si>
  <si>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</si>
  <si>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</si>
  <si>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</si>
  <si>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</si>
  <si>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</si>
  <si>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</si>
  <si>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</si>
  <si>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</si>
  <si>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</si>
  <si>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</si>
  <si>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</si>
  <si>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</si>
  <si>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</si>
  <si>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</si>
  <si>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</si>
  <si>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</si>
  <si>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</si>
  <si>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</si>
  <si>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</si>
  <si>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</si>
  <si>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</si>
  <si>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</si>
  <si>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</si>
  <si>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</si>
  <si>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</si>
  <si>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</si>
  <si>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</si>
  <si>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</si>
  <si>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</si>
  <si>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</si>
  <si>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</si>
  <si>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</si>
  <si>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</si>
  <si>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</si>
  <si>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</si>
  <si>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</si>
  <si>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</si>
  <si>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</si>
  <si>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</si>
  <si>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</si>
  <si>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</si>
  <si>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</si>
  <si>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</si>
  <si>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</si>
  <si>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</si>
  <si>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</si>
  <si>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</si>
  <si>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</si>
  <si>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</si>
  <si>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</si>
  <si>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</si>
  <si>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</si>
  <si>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</si>
  <si>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</si>
  <si>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</si>
  <si>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</si>
  <si>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</si>
  <si>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</si>
  <si>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</si>
  <si>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</si>
  <si>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</si>
  <si>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</si>
  <si>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</si>
  <si>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</si>
  <si>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</si>
  <si>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</si>
  <si>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</si>
  <si>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</si>
  <si>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</si>
  <si>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</si>
  <si>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</si>
  <si>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</si>
  <si>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</si>
  <si>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</si>
  <si>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</si>
  <si>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</si>
  <si>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</si>
  <si>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</si>
  <si>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</si>
  <si>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</si>
  <si>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</si>
  <si>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</si>
  <si>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</si>
  <si>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</si>
  <si>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</si>
  <si>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</si>
  <si>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</si>
  <si>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</si>
  <si>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</si>
  <si>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</si>
  <si>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</si>
  <si>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</si>
  <si>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</si>
  <si>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</si>
  <si>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</si>
  <si>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</si>
  <si>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</si>
  <si>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</si>
  <si>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</si>
  <si>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</si>
  <si>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</si>
  <si>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</si>
  <si>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</si>
  <si>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</si>
  <si>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</si>
  <si>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</si>
  <si>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</si>
  <si>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</si>
  <si>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</si>
  <si>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</si>
  <si>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</si>
  <si>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</si>
  <si>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</si>
  <si>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</si>
  <si>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</si>
  <si>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</si>
  <si>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</si>
  <si>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</si>
  <si>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</si>
  <si>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</si>
  <si>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</si>
  <si>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</si>
  <si>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</si>
  <si>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</si>
  <si>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</si>
  <si>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</si>
  <si>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</si>
  <si>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</si>
  <si>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</si>
  <si>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</si>
  <si>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</si>
  <si>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</si>
  <si>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</si>
  <si>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</si>
  <si>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</si>
  <si>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</si>
  <si>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</si>
  <si>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</si>
  <si>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</si>
  <si>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</si>
  <si>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</si>
  <si>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</si>
  <si>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</si>
  <si>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</si>
  <si>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</si>
  <si>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</si>
  <si>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</si>
  <si>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</si>
  <si>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</si>
  <si>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</si>
  <si>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</si>
  <si>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</si>
  <si>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</si>
  <si>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</si>
  <si>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</si>
  <si>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</si>
  <si>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</si>
  <si>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</si>
  <si>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</si>
  <si>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</si>
  <si>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</si>
  <si>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</si>
  <si>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</si>
  <si>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</si>
  <si>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</si>
  <si>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</si>
  <si>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</si>
  <si>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</si>
  <si>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</si>
  <si>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</si>
  <si>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</si>
  <si>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</si>
  <si>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</si>
  <si>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</si>
  <si>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</si>
  <si>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</si>
  <si>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</si>
  <si>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</si>
  <si>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</si>
  <si>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</si>
  <si>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</si>
  <si>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</si>
  <si>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</si>
  <si>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</si>
  <si>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</si>
  <si>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</si>
  <si>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</si>
  <si>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</si>
  <si>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</si>
  <si>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</si>
  <si>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</si>
  <si>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</si>
  <si>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</si>
  <si>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</si>
  <si>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</si>
  <si>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</si>
  <si>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</si>
  <si>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</si>
  <si>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</si>
  <si>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</si>
  <si>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</si>
  <si>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</si>
  <si>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</si>
  <si>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</si>
  <si>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</si>
  <si>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</si>
  <si>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</si>
  <si>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</si>
  <si>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</si>
  <si>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</si>
  <si>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</si>
  <si>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</si>
  <si>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</si>
  <si>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</si>
  <si>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</si>
  <si>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</si>
  <si>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</si>
  <si>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</si>
  <si>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</si>
  <si>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</si>
  <si>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</si>
  <si>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</si>
  <si>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</si>
  <si>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</si>
  <si>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</si>
  <si>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</si>
  <si>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</si>
  <si>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</si>
  <si>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</si>
  <si>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</si>
  <si>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</si>
  <si>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</si>
  <si>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</si>
  <si>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</si>
  <si>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</si>
  <si>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</si>
  <si>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</si>
  <si>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</si>
  <si>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</si>
  <si>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</si>
  <si>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</si>
  <si>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</si>
  <si>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</si>
  <si>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</si>
  <si>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</si>
  <si>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</si>
  <si>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</si>
  <si>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</si>
  <si>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</si>
  <si>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</si>
  <si>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</si>
  <si>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</si>
  <si>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</si>
  <si>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</si>
  <si>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</si>
  <si>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</si>
  <si>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</si>
  <si>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</si>
  <si>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</si>
  <si>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</si>
  <si>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</si>
  <si>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</si>
  <si>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</si>
  <si>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</si>
  <si>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</si>
  <si>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</si>
  <si>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</si>
  <si>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</si>
  <si>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</si>
  <si>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</si>
  <si>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</si>
  <si>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</si>
  <si>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</si>
  <si>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</si>
  <si>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</si>
  <si>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</si>
  <si>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</si>
  <si>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</si>
  <si>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</si>
  <si>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</si>
  <si>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</si>
  <si>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</si>
  <si>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</si>
  <si>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</si>
  <si>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</si>
  <si>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</si>
  <si>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</si>
  <si>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</si>
  <si>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</si>
  <si>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</si>
  <si>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</si>
  <si>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</si>
  <si>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</si>
  <si>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</si>
  <si>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</si>
  <si>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</si>
  <si>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</si>
  <si>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</si>
  <si>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</si>
  <si>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</si>
  <si>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</si>
  <si>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</si>
  <si>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</si>
  <si>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</si>
  <si>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</si>
  <si>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</si>
  <si>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</si>
  <si>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</si>
  <si>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</si>
  <si>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</si>
  <si>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</si>
  <si>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</si>
  <si>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</si>
  <si>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</si>
  <si>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</si>
  <si>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</si>
  <si>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</si>
  <si>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</si>
  <si>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</si>
  <si>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</si>
  <si>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</si>
  <si>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</si>
  <si>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</si>
  <si>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</si>
  <si>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</si>
  <si>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</si>
  <si>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</si>
  <si>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</si>
  <si>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</si>
  <si>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</si>
  <si>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</si>
  <si>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</si>
  <si>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</si>
  <si>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</si>
  <si>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</si>
  <si>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</si>
  <si>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</si>
  <si>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</si>
  <si>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</si>
  <si>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</si>
  <si>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</si>
  <si>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</si>
  <si>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</si>
  <si>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</si>
  <si>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</si>
  <si>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</si>
  <si>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</si>
  <si>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</si>
  <si>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</si>
  <si>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</si>
  <si>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</si>
  <si>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</si>
  <si>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</si>
  <si>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</si>
  <si>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</si>
  <si>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</si>
  <si>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</si>
  <si>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</si>
  <si>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</si>
  <si>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</si>
  <si>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</si>
  <si>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</si>
  <si>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</si>
  <si>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</si>
  <si>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</si>
  <si>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</si>
  <si>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</si>
  <si>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</si>
  <si>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</si>
  <si>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</si>
  <si>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</si>
  <si>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</si>
  <si>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</si>
  <si>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</si>
  <si>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</si>
  <si>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</si>
  <si>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</si>
  <si>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</si>
  <si>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</si>
  <si>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</si>
  <si>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</si>
  <si>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</si>
  <si>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</si>
  <si>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</si>
  <si>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</si>
  <si>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</si>
  <si>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</si>
  <si>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</si>
  <si>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</si>
  <si>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</si>
  <si>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</si>
  <si>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</si>
  <si>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</si>
  <si>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</si>
  <si>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</si>
  <si>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</si>
  <si>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</si>
  <si>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</si>
  <si>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</si>
  <si>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</si>
  <si>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</si>
  <si>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</si>
  <si>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</si>
  <si>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</si>
  <si>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</si>
  <si>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</si>
  <si>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</si>
  <si>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</si>
  <si>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</si>
  <si>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</si>
  <si>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</si>
  <si>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</si>
  <si>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</si>
  <si>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</si>
  <si>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</si>
  <si>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</si>
  <si>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</si>
  <si>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</si>
  <si>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</si>
  <si>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</si>
  <si>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</si>
  <si>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</si>
  <si>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</si>
  <si>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</si>
  <si>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</si>
  <si>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</si>
  <si>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</si>
  <si>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</si>
  <si>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</si>
  <si>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</si>
  <si>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</si>
  <si>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</si>
  <si>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</si>
  <si>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</si>
  <si>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</si>
  <si>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</si>
  <si>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</si>
  <si>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</si>
  <si>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</si>
  <si>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</si>
  <si>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</si>
  <si>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</si>
  <si>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</si>
  <si>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</si>
  <si>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</si>
  <si>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</si>
  <si>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</si>
  <si>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</si>
  <si>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</si>
  <si>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</si>
  <si>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</si>
  <si>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</si>
  <si>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</si>
  <si>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</si>
  <si>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</si>
  <si>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</si>
  <si>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</si>
  <si>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</si>
  <si>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</si>
  <si>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</si>
  <si>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</si>
  <si>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</si>
  <si>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</si>
  <si>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</si>
  <si>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</si>
  <si>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</si>
  <si>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</si>
  <si>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</si>
  <si>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</si>
  <si>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</si>
  <si>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</si>
  <si>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</si>
  <si>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</si>
  <si>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</si>
  <si>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</si>
  <si>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</si>
  <si>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</si>
  <si>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</si>
  <si>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</si>
  <si>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</si>
  <si>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</si>
  <si>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</si>
  <si>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</si>
  <si>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</si>
  <si>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</si>
  <si>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</si>
  <si>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</si>
  <si>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</si>
  <si>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</si>
  <si>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</si>
  <si>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</si>
  <si>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</si>
  <si>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</si>
  <si>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</si>
  <si>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</si>
  <si>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</si>
  <si>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</si>
  <si>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</si>
  <si>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</si>
  <si>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</si>
  <si>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</si>
  <si>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</si>
  <si>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</si>
  <si>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</si>
  <si>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</si>
  <si>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</si>
  <si>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</si>
  <si>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</si>
  <si>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</si>
  <si>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</si>
  <si>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</si>
  <si>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</si>
  <si>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</si>
  <si>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</si>
  <si>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</si>
  <si>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</si>
  <si>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</si>
  <si>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</si>
  <si>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</si>
  <si>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</si>
  <si>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</si>
  <si>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</si>
  <si>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</si>
  <si>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</si>
  <si>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</si>
  <si>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</si>
  <si>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</si>
  <si>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</si>
  <si>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</si>
  <si>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</si>
  <si>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</si>
  <si>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</si>
  <si>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</si>
  <si>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</si>
  <si>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</si>
  <si>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</si>
  <si>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</si>
  <si>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</si>
  <si>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</si>
  <si>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</si>
  <si>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</si>
  <si>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</si>
  <si>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</si>
  <si>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</si>
  <si>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</si>
  <si>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</si>
  <si>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</si>
  <si>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</si>
  <si>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</si>
  <si>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</si>
  <si>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</si>
  <si>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</si>
  <si>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</si>
  <si>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</si>
  <si>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</si>
  <si>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</si>
  <si>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</si>
  <si>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</si>
  <si>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</si>
  <si>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</si>
  <si>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</si>
  <si>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</si>
  <si>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</si>
  <si>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</si>
  <si>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</si>
  <si>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</si>
  <si>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</si>
  <si>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</si>
  <si>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</si>
  <si>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</si>
  <si>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</si>
  <si>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</si>
  <si>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</si>
  <si>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</si>
  <si>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</si>
  <si>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</si>
  <si>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</si>
  <si>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</si>
  <si>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</si>
  <si>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</si>
  <si>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</si>
  <si>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</si>
  <si>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</si>
  <si>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</si>
  <si>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</si>
  <si>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</si>
  <si>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</si>
  <si>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</si>
  <si>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</si>
  <si>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</si>
  <si>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</si>
  <si>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</si>
  <si>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</si>
  <si>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</si>
  <si>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</si>
  <si>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</si>
  <si>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</si>
  <si>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</si>
  <si>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</si>
  <si>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</si>
  <si>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</si>
  <si>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</si>
  <si>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</si>
  <si>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</si>
  <si>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</si>
  <si>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</si>
  <si>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</si>
  <si>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</si>
  <si>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</si>
  <si>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</si>
  <si>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</si>
  <si>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</si>
  <si>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</si>
  <si>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</si>
  <si>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</si>
  <si>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</si>
  <si>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</si>
  <si>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</si>
  <si>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</si>
  <si>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</si>
  <si>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</si>
  <si>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</si>
  <si>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</si>
  <si>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</si>
  <si>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</si>
  <si>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</si>
  <si>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</si>
  <si>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</si>
  <si>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</si>
  <si>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</si>
  <si>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</si>
  <si>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</si>
  <si>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</si>
  <si>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</si>
  <si>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</si>
  <si>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</si>
  <si>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</si>
  <si>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</si>
  <si>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</si>
  <si>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</si>
  <si>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</si>
  <si>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</si>
  <si>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</si>
  <si>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</si>
  <si>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</si>
  <si>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</si>
  <si>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</si>
  <si>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</si>
  <si>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</si>
  <si>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</si>
  <si>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</si>
  <si>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</si>
  <si>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</si>
  <si>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</si>
  <si>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</si>
  <si>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</si>
  <si>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</si>
  <si>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</si>
  <si>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</si>
  <si>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</si>
  <si>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</si>
  <si>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</si>
  <si>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</si>
  <si>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</si>
  <si>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</si>
  <si>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</si>
  <si>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</si>
  <si>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</si>
  <si>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</si>
  <si>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</si>
  <si>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</si>
  <si>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</si>
  <si>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</si>
  <si>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</si>
  <si>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</si>
  <si>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</si>
  <si>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</si>
  <si>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</si>
  <si>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</si>
  <si>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</si>
  <si>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</si>
  <si>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</si>
  <si>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</si>
  <si>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</si>
  <si>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</si>
  <si>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</si>
  <si>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</si>
  <si>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</si>
  <si>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</si>
  <si>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</si>
  <si>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</si>
  <si>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</si>
  <si>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</si>
  <si>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</si>
  <si>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</si>
  <si>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</si>
  <si>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</si>
  <si>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</si>
  <si>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</si>
  <si>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</si>
  <si>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</si>
  <si>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</si>
  <si>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</si>
  <si>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</si>
  <si>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</si>
  <si>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</si>
  <si>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</si>
  <si>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</si>
  <si>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</si>
  <si>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</si>
  <si>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</si>
  <si>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</si>
  <si>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</si>
  <si>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</si>
  <si>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</si>
  <si>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</si>
  <si>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</si>
  <si>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</si>
  <si>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</si>
  <si>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</si>
  <si>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</si>
  <si>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</si>
  <si>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</si>
  <si>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</si>
  <si>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</si>
  <si>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</si>
  <si>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</si>
  <si>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</si>
  <si>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</si>
  <si>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</si>
  <si>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</si>
  <si>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</si>
  <si>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</si>
  <si>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</si>
  <si>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</si>
  <si>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</si>
  <si>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</si>
  <si>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</si>
  <si>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</si>
  <si>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</si>
  <si>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</si>
  <si>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</si>
  <si>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</si>
  <si>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</si>
  <si>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</si>
  <si>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</si>
  <si>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</si>
  <si>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</si>
  <si>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</si>
  <si>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</si>
  <si>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</si>
  <si>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</si>
  <si>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</si>
  <si>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</si>
  <si>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</si>
  <si>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</si>
  <si>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</si>
  <si>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</si>
  <si>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</si>
  <si>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</si>
  <si>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</si>
  <si>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</si>
  <si>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</si>
  <si>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</si>
  <si>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</si>
  <si>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</si>
  <si>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</si>
  <si>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</si>
  <si>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</si>
  <si>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</si>
  <si>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</si>
  <si>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</si>
  <si>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</si>
  <si>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</si>
  <si>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</si>
  <si>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</si>
  <si>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</si>
  <si>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</si>
  <si>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</si>
  <si>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</si>
  <si>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</si>
  <si>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</si>
  <si>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</si>
  <si>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</si>
  <si>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</si>
  <si>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</si>
  <si>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</si>
  <si>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</si>
  <si>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</si>
  <si>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</si>
  <si>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</si>
  <si>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</si>
  <si>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</si>
  <si>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</si>
  <si>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</si>
  <si>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</si>
  <si>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</si>
  <si>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</si>
  <si>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</si>
  <si>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</si>
  <si>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</si>
  <si>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</si>
  <si>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</si>
  <si>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</si>
  <si>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</si>
  <si>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</si>
  <si>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</si>
  <si>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</si>
  <si>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</si>
  <si>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</si>
  <si>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</si>
  <si>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</si>
  <si>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</si>
  <si>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</si>
  <si>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</si>
  <si>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</si>
  <si>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</si>
  <si>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</si>
  <si>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</si>
  <si>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</si>
  <si>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</si>
  <si>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</si>
  <si>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</si>
  <si>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</si>
  <si>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</si>
  <si>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</si>
  <si>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</si>
  <si>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</si>
  <si>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</si>
  <si>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</si>
  <si>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</si>
  <si>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</si>
  <si>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</si>
  <si>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</si>
  <si>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</si>
  <si>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</si>
  <si>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</si>
  <si>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</si>
  <si>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</si>
  <si>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</si>
  <si>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</si>
  <si>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</si>
  <si>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</si>
  <si>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</si>
  <si>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</si>
  <si>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</si>
  <si>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</si>
  <si>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</si>
  <si>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</si>
  <si>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</si>
  <si>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</si>
  <si>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</si>
  <si>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</si>
  <si>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</si>
  <si>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</si>
  <si>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</si>
  <si>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</si>
  <si>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</si>
  <si>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</si>
  <si>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</si>
  <si>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</si>
  <si>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</si>
  <si>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</si>
  <si>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</si>
  <si>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</si>
  <si>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</si>
  <si>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</si>
  <si>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</si>
  <si>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</si>
  <si>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</si>
  <si>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</si>
  <si>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</si>
  <si>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</si>
  <si>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</si>
  <si>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</si>
  <si>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</si>
  <si>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</si>
  <si>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</si>
  <si>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</si>
  <si>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</si>
  <si>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</si>
  <si>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</si>
  <si>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</si>
  <si>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</si>
  <si>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</si>
  <si>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</si>
  <si>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</si>
  <si>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</si>
  <si>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</si>
  <si>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</si>
  <si>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</si>
  <si>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</si>
  <si>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</si>
  <si>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</si>
  <si>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</si>
  <si>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</si>
  <si>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</si>
  <si>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</si>
  <si>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</si>
  <si>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</si>
  <si>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</si>
  <si>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</si>
  <si>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</si>
  <si>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</si>
  <si>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</si>
  <si>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</si>
  <si>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</si>
  <si>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</si>
  <si>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</si>
  <si>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</si>
  <si>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</si>
  <si>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</si>
  <si>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</si>
  <si>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</si>
  <si>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</si>
  <si>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</si>
  <si>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</si>
  <si>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</si>
  <si>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</si>
  <si>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</si>
  <si>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</si>
  <si>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</si>
  <si>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</si>
  <si>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</si>
  <si>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</si>
  <si>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</si>
  <si>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</si>
  <si>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</si>
  <si>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</si>
  <si>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</si>
  <si>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</si>
  <si>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</si>
  <si>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</si>
  <si>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</si>
  <si>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</si>
  <si>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</si>
  <si>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</si>
  <si>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</si>
  <si>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</si>
  <si>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</si>
  <si>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</si>
  <si>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</si>
  <si>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Thu Oct 10 16:35:19 2024</t>
  </si>
  <si>
    <t>fx0280</t>
  </si>
  <si>
    <t>all, 0</t>
  </si>
  <si>
    <t>LABEL-FAPP-cpupa</t>
  </si>
  <si>
    <t>Level</t>
  </si>
  <si>
    <t>Spawn</t>
  </si>
  <si>
    <t>Thread</t>
  </si>
  <si>
    <t>Region_name</t>
  </si>
  <si>
    <t>Region_number</t>
  </si>
  <si>
    <t>Call</t>
  </si>
  <si>
    <t>CNTVCT</t>
  </si>
  <si>
    <t>PMCCNTR</t>
  </si>
  <si>
    <t>0x0017</t>
  </si>
  <si>
    <t>0x0018</t>
  </si>
  <si>
    <t>0x0325</t>
  </si>
  <si>
    <t>0x0326</t>
  </si>
  <si>
    <t>FAPP-cpupa</t>
  </si>
  <si>
    <t>all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</si>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</sst>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0.11185303624473084</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1.8295010655029403E-2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4.119598853761644E-2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1.4973587749104804E-2</c:v>
                </c:pt>
                <c:pt idx="1">
                  <c:v>2.0272417234555424E-3</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2.4326179922382739E-3</c:v>
                </c:pt>
                <c:pt idx="1">
                  <c:v>2.3239685788933955E-3</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data!$TS$42:$TS$54</c:f>
              <c:numCache>
                <c:formatCode>0.00E+00</c:formatCode>
                <c:ptCount val="13"/>
                <c:pt idx="1">
                  <c:v>8.0856715593736292E-2</c:v>
                </c:pt>
                <c:pt idx="2">
                  <c:v>7.9281671040994386E-2</c:v>
                </c:pt>
                <c:pt idx="3">
                  <c:v>7.9161187076853018E-2</c:v>
                </c:pt>
                <c:pt idx="4">
                  <c:v>8.1057609235750949E-2</c:v>
                </c:pt>
                <c:pt idx="5">
                  <c:v>7.826060201458962E-2</c:v>
                </c:pt>
                <c:pt idx="6">
                  <c:v>7.9242467597972044E-2</c:v>
                </c:pt>
                <c:pt idx="7">
                  <c:v>7.8472040743052057E-2</c:v>
                </c:pt>
                <c:pt idx="8">
                  <c:v>7.8549811134637923E-2</c:v>
                </c:pt>
                <c:pt idx="9">
                  <c:v>7.9360432839990266E-2</c:v>
                </c:pt>
                <c:pt idx="10">
                  <c:v>7.8726664961640144E-2</c:v>
                </c:pt>
                <c:pt idx="11">
                  <c:v>7.8616319773947951E-2</c:v>
                </c:pt>
                <c:pt idx="12">
                  <c:v>7.9013788520787165E-2</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data!$TT$42:$TT$54</c:f>
              <c:numCache>
                <c:formatCode>0.00E+00</c:formatCode>
                <c:ptCount val="13"/>
                <c:pt idx="1">
                  <c:v>4.160385313300841</c:v>
                </c:pt>
                <c:pt idx="2">
                  <c:v>1.8842514019518555</c:v>
                </c:pt>
                <c:pt idx="3">
                  <c:v>1.8654412080825029</c:v>
                </c:pt>
                <c:pt idx="4">
                  <c:v>4.1582637686151305</c:v>
                </c:pt>
                <c:pt idx="5">
                  <c:v>1.8212225204029924</c:v>
                </c:pt>
                <c:pt idx="6">
                  <c:v>1.820631855530497</c:v>
                </c:pt>
                <c:pt idx="7">
                  <c:v>4.0961406471179593</c:v>
                </c:pt>
                <c:pt idx="8">
                  <c:v>2.3055785706874752</c:v>
                </c:pt>
                <c:pt idx="9">
                  <c:v>1.8405798464458902</c:v>
                </c:pt>
                <c:pt idx="10">
                  <c:v>4.0976906893866678</c:v>
                </c:pt>
                <c:pt idx="11">
                  <c:v>1.84717378650689</c:v>
                </c:pt>
                <c:pt idx="12">
                  <c:v>1.8487002197088622</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data!$TU$42:$TU$54</c:f>
              <c:numCache>
                <c:formatCode>0.00E+00</c:formatCode>
                <c:ptCount val="13"/>
                <c:pt idx="1">
                  <c:v>2.1409470630758718</c:v>
                </c:pt>
                <c:pt idx="2">
                  <c:v>1.5385731666629945</c:v>
                </c:pt>
                <c:pt idx="3">
                  <c:v>1.5386759046147405</c:v>
                </c:pt>
                <c:pt idx="4">
                  <c:v>2.1420871966390131</c:v>
                </c:pt>
                <c:pt idx="5">
                  <c:v>1.5471982761964846</c:v>
                </c:pt>
                <c:pt idx="6">
                  <c:v>1.5490740617177945</c:v>
                </c:pt>
                <c:pt idx="7">
                  <c:v>2.0986588148240135</c:v>
                </c:pt>
                <c:pt idx="8">
                  <c:v>1.3438464619512751</c:v>
                </c:pt>
                <c:pt idx="9">
                  <c:v>1.5454112802129729</c:v>
                </c:pt>
                <c:pt idx="10">
                  <c:v>2.0842131308555327</c:v>
                </c:pt>
                <c:pt idx="11">
                  <c:v>1.5467233456802758</c:v>
                </c:pt>
                <c:pt idx="12">
                  <c:v>1.5432330873866127</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data!$TV$42:$TV$54</c:f>
              <c:numCache>
                <c:formatCode>0.00E+00</c:formatCode>
                <c:ptCount val="13"/>
                <c:pt idx="1">
                  <c:v>0.34515996762965317</c:v>
                </c:pt>
                <c:pt idx="2">
                  <c:v>0.52079798331187355</c:v>
                </c:pt>
                <c:pt idx="3">
                  <c:v>0.52832523556802635</c:v>
                </c:pt>
                <c:pt idx="4">
                  <c:v>0.35022367881682998</c:v>
                </c:pt>
                <c:pt idx="5">
                  <c:v>0.53044454243146455</c:v>
                </c:pt>
                <c:pt idx="6">
                  <c:v>0.52888797004275578</c:v>
                </c:pt>
                <c:pt idx="7">
                  <c:v>0.33827323287708877</c:v>
                </c:pt>
                <c:pt idx="8">
                  <c:v>0.4705078584733367</c:v>
                </c:pt>
                <c:pt idx="9">
                  <c:v>0.52926366772147848</c:v>
                </c:pt>
                <c:pt idx="10">
                  <c:v>0.33677825735441225</c:v>
                </c:pt>
                <c:pt idx="11">
                  <c:v>0.52923735323814625</c:v>
                </c:pt>
                <c:pt idx="12">
                  <c:v>0.52913780213197792</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data!$TX$42:$TX$54</c:f>
              <c:numCache>
                <c:formatCode>0.00E+00</c:formatCode>
                <c:ptCount val="13"/>
                <c:pt idx="1">
                  <c:v>0.24736637039733958</c:v>
                </c:pt>
                <c:pt idx="2">
                  <c:v>0.3830465353649366</c:v>
                </c:pt>
                <c:pt idx="3">
                  <c:v>0.37501714659734559</c:v>
                </c:pt>
                <c:pt idx="4">
                  <c:v>0.23911726523986943</c:v>
                </c:pt>
                <c:pt idx="5">
                  <c:v>0.39149206542125481</c:v>
                </c:pt>
                <c:pt idx="6">
                  <c:v>0.39031926865822458</c:v>
                </c:pt>
                <c:pt idx="7">
                  <c:v>0.23520593550194482</c:v>
                </c:pt>
                <c:pt idx="8">
                  <c:v>0.36455227817129399</c:v>
                </c:pt>
                <c:pt idx="9">
                  <c:v>0.37335818135587523</c:v>
                </c:pt>
                <c:pt idx="10">
                  <c:v>0.23150944775004145</c:v>
                </c:pt>
                <c:pt idx="11">
                  <c:v>0.37388091571283533</c:v>
                </c:pt>
                <c:pt idx="12">
                  <c:v>0.37794248312744677</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data!$TY$42:$TY$54</c:f>
              <c:numCache>
                <c:formatCode>0.00E+00</c:formatCode>
                <c:ptCount val="13"/>
                <c:pt idx="1">
                  <c:v>0.21599821878912928</c:v>
                </c:pt>
                <c:pt idx="2">
                  <c:v>1.0349247161175836E-3</c:v>
                </c:pt>
                <c:pt idx="3">
                  <c:v>8.6816779304797872E-4</c:v>
                </c:pt>
                <c:pt idx="4">
                  <c:v>0.2025819857070148</c:v>
                </c:pt>
                <c:pt idx="5">
                  <c:v>8.3844021723054505E-4</c:v>
                </c:pt>
                <c:pt idx="6">
                  <c:v>9.6721967031672732E-4</c:v>
                </c:pt>
                <c:pt idx="7">
                  <c:v>0.34465471154192218</c:v>
                </c:pt>
                <c:pt idx="8">
                  <c:v>1.091656695491183E-3</c:v>
                </c:pt>
                <c:pt idx="9">
                  <c:v>9.3670475893089242E-4</c:v>
                </c:pt>
                <c:pt idx="10">
                  <c:v>0.33641489904640026</c:v>
                </c:pt>
                <c:pt idx="11">
                  <c:v>6.1800156952349279E-4</c:v>
                </c:pt>
                <c:pt idx="12">
                  <c:v>8.0514276344585526E-4</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data!$TZ$42:$TZ$54</c:f>
              <c:numCache>
                <c:formatCode>0.00E+00</c:formatCode>
                <c:ptCount val="13"/>
                <c:pt idx="1">
                  <c:v>0.70804458865688424</c:v>
                </c:pt>
                <c:pt idx="2">
                  <c:v>1.3020981432050214</c:v>
                </c:pt>
                <c:pt idx="3">
                  <c:v>1.3141884870338263</c:v>
                </c:pt>
                <c:pt idx="4">
                  <c:v>0.71550956525224452</c:v>
                </c:pt>
                <c:pt idx="5">
                  <c:v>1.3182048896364529</c:v>
                </c:pt>
                <c:pt idx="6">
                  <c:v>1.3163785552778788</c:v>
                </c:pt>
                <c:pt idx="7">
                  <c:v>0.71844827018987634</c:v>
                </c:pt>
                <c:pt idx="8">
                  <c:v>1.0758843297214056</c:v>
                </c:pt>
                <c:pt idx="9">
                  <c:v>1.3202340936721682</c:v>
                </c:pt>
                <c:pt idx="10">
                  <c:v>0.68973423482035578</c:v>
                </c:pt>
                <c:pt idx="11">
                  <c:v>1.3147737844184513</c:v>
                </c:pt>
                <c:pt idx="12">
                  <c:v>1.3157157842280183</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data!$UA$42:$UA$54</c:f>
              <c:numCache>
                <c:formatCode>0.00E+00</c:formatCode>
                <c:ptCount val="13"/>
                <c:pt idx="1">
                  <c:v>1.3031598425565452</c:v>
                </c:pt>
                <c:pt idx="2">
                  <c:v>2.3621545737462073</c:v>
                </c:pt>
                <c:pt idx="3">
                  <c:v>2.368809383233657</c:v>
                </c:pt>
                <c:pt idx="4">
                  <c:v>1.3110021304941468</c:v>
                </c:pt>
                <c:pt idx="5">
                  <c:v>2.3808935436795311</c:v>
                </c:pt>
                <c:pt idx="6">
                  <c:v>2.3825526815045599</c:v>
                </c:pt>
                <c:pt idx="7">
                  <c:v>1.2888170672041437</c:v>
                </c:pt>
                <c:pt idx="8">
                  <c:v>2.4289371931650843</c:v>
                </c:pt>
                <c:pt idx="9">
                  <c:v>2.3791236329926946</c:v>
                </c:pt>
                <c:pt idx="10">
                  <c:v>1.2731195558249493</c:v>
                </c:pt>
                <c:pt idx="11">
                  <c:v>2.3795166530999303</c:v>
                </c:pt>
                <c:pt idx="12">
                  <c:v>2.3753099321328497</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data!$TR$31:$TR$35</c:f>
              <c:numCache>
                <c:formatCode>General</c:formatCode>
                <c:ptCount val="5"/>
                <c:pt idx="0" formatCode="0.00E+00">
                  <c:v>0.61739060680806224</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data!$TT$31:$TT$35</c:f>
              <c:numCache>
                <c:formatCode>General</c:formatCode>
                <c:ptCount val="5"/>
                <c:pt idx="0" formatCode="0.00E+00">
                  <c:v>2.3664826932207763</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data!$TU$31:$TU$35</c:f>
              <c:numCache>
                <c:formatCode>General</c:formatCode>
                <c:ptCount val="5"/>
                <c:pt idx="0" formatCode="0.00E+00">
                  <c:v>0.7070851020447636</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data!$TV$31:$TV$35</c:f>
              <c:numCache>
                <c:formatCode>General</c:formatCode>
                <c:ptCount val="5"/>
                <c:pt idx="0" formatCode="0.00E+00">
                  <c:v>0.34770982300000003</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data!$TS$42:$TS$54</c:f>
              <c:numCache>
                <c:formatCode>0.00E+00</c:formatCode>
                <c:ptCount val="13"/>
                <c:pt idx="1">
                  <c:v>8.0856715593736292E-2</c:v>
                </c:pt>
                <c:pt idx="2">
                  <c:v>7.9281671040994386E-2</c:v>
                </c:pt>
                <c:pt idx="3">
                  <c:v>7.9161187076853018E-2</c:v>
                </c:pt>
                <c:pt idx="4">
                  <c:v>8.1057609235750949E-2</c:v>
                </c:pt>
                <c:pt idx="5">
                  <c:v>7.826060201458962E-2</c:v>
                </c:pt>
                <c:pt idx="6">
                  <c:v>7.9242467597972044E-2</c:v>
                </c:pt>
                <c:pt idx="7">
                  <c:v>7.8472040743052057E-2</c:v>
                </c:pt>
                <c:pt idx="8">
                  <c:v>7.8549811134637923E-2</c:v>
                </c:pt>
                <c:pt idx="9">
                  <c:v>7.9360432839990266E-2</c:v>
                </c:pt>
                <c:pt idx="10">
                  <c:v>7.8726664961640144E-2</c:v>
                </c:pt>
                <c:pt idx="11">
                  <c:v>7.8616319773947951E-2</c:v>
                </c:pt>
                <c:pt idx="12">
                  <c:v>7.9013788520787165E-2</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data!$TT$42:$TT$54</c:f>
              <c:numCache>
                <c:formatCode>0.00E+00</c:formatCode>
                <c:ptCount val="13"/>
                <c:pt idx="1">
                  <c:v>4.160385313300841</c:v>
                </c:pt>
                <c:pt idx="2">
                  <c:v>1.8842514019518555</c:v>
                </c:pt>
                <c:pt idx="3">
                  <c:v>1.8654412080825029</c:v>
                </c:pt>
                <c:pt idx="4">
                  <c:v>4.1582637686151305</c:v>
                </c:pt>
                <c:pt idx="5">
                  <c:v>1.8212225204029924</c:v>
                </c:pt>
                <c:pt idx="6">
                  <c:v>1.820631855530497</c:v>
                </c:pt>
                <c:pt idx="7">
                  <c:v>4.0961406471179593</c:v>
                </c:pt>
                <c:pt idx="8">
                  <c:v>2.3055785706874752</c:v>
                </c:pt>
                <c:pt idx="9">
                  <c:v>1.8405798464458902</c:v>
                </c:pt>
                <c:pt idx="10">
                  <c:v>4.0976906893866678</c:v>
                </c:pt>
                <c:pt idx="11">
                  <c:v>1.84717378650689</c:v>
                </c:pt>
                <c:pt idx="12">
                  <c:v>1.8487002197088622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data!$TU$42:$TU$54</c:f>
              <c:numCache>
                <c:formatCode>0.00E+00</c:formatCode>
                <c:ptCount val="13"/>
                <c:pt idx="1">
                  <c:v>2.1409470630758718</c:v>
                </c:pt>
                <c:pt idx="2">
                  <c:v>1.5385731666629945</c:v>
                </c:pt>
                <c:pt idx="3">
                  <c:v>1.5386759046147405</c:v>
                </c:pt>
                <c:pt idx="4">
                  <c:v>2.1420871966390131</c:v>
                </c:pt>
                <c:pt idx="5">
                  <c:v>1.5471982761964846</c:v>
                </c:pt>
                <c:pt idx="6">
                  <c:v>1.5490740617177945</c:v>
                </c:pt>
                <c:pt idx="7">
                  <c:v>2.0986588148240135</c:v>
                </c:pt>
                <c:pt idx="8">
                  <c:v>1.3438464619512751</c:v>
                </c:pt>
                <c:pt idx="9">
                  <c:v>1.5454112802129729</c:v>
                </c:pt>
                <c:pt idx="10">
                  <c:v>2.0842131308555327</c:v>
                </c:pt>
                <c:pt idx="11">
                  <c:v>1.5467233456802758</c:v>
                </c:pt>
                <c:pt idx="12">
                  <c:v>1.5432330873866127</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data!$TV$42:$TV$54</c:f>
              <c:numCache>
                <c:formatCode>0.00E+00</c:formatCode>
                <c:ptCount val="13"/>
                <c:pt idx="1">
                  <c:v>0.34515996762965317</c:v>
                </c:pt>
                <c:pt idx="2">
                  <c:v>0.52079798331187355</c:v>
                </c:pt>
                <c:pt idx="3">
                  <c:v>0.52832523556802635</c:v>
                </c:pt>
                <c:pt idx="4">
                  <c:v>0.35022367881682998</c:v>
                </c:pt>
                <c:pt idx="5">
                  <c:v>0.53044454243146455</c:v>
                </c:pt>
                <c:pt idx="6">
                  <c:v>0.52888797004275578</c:v>
                </c:pt>
                <c:pt idx="7">
                  <c:v>0.33827323287708877</c:v>
                </c:pt>
                <c:pt idx="8">
                  <c:v>0.4705078584733367</c:v>
                </c:pt>
                <c:pt idx="9">
                  <c:v>0.52926366772147848</c:v>
                </c:pt>
                <c:pt idx="10">
                  <c:v>0.33677825735441225</c:v>
                </c:pt>
                <c:pt idx="11">
                  <c:v>0.52923735323814625</c:v>
                </c:pt>
                <c:pt idx="12">
                  <c:v>0.52913780213197792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data!$TX$42:$TX$54</c:f>
              <c:numCache>
                <c:formatCode>0.00E+00</c:formatCode>
                <c:ptCount val="13"/>
                <c:pt idx="1">
                  <c:v>0.24736637039733958</c:v>
                </c:pt>
                <c:pt idx="2">
                  <c:v>0.3830465353649366</c:v>
                </c:pt>
                <c:pt idx="3">
                  <c:v>0.37501714659734559</c:v>
                </c:pt>
                <c:pt idx="4">
                  <c:v>0.23911726523986943</c:v>
                </c:pt>
                <c:pt idx="5">
                  <c:v>0.39149206542125481</c:v>
                </c:pt>
                <c:pt idx="6">
                  <c:v>0.39031926865822458</c:v>
                </c:pt>
                <c:pt idx="7">
                  <c:v>0.23520593550194482</c:v>
                </c:pt>
                <c:pt idx="8">
                  <c:v>0.36455227817129399</c:v>
                </c:pt>
                <c:pt idx="9">
                  <c:v>0.37335818135587523</c:v>
                </c:pt>
                <c:pt idx="10">
                  <c:v>0.23150944775004145</c:v>
                </c:pt>
                <c:pt idx="11">
                  <c:v>0.37388091571283533</c:v>
                </c:pt>
                <c:pt idx="12">
                  <c:v>0.37794248312744677</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data!$TY$42:$TY$54</c:f>
              <c:numCache>
                <c:formatCode>0.00E+00</c:formatCode>
                <c:ptCount val="13"/>
                <c:pt idx="1">
                  <c:v>0.21599821878912928</c:v>
                </c:pt>
                <c:pt idx="2">
                  <c:v>1.0349247161175836E-3</c:v>
                </c:pt>
                <c:pt idx="3">
                  <c:v>8.6816779304797872E-4</c:v>
                </c:pt>
                <c:pt idx="4">
                  <c:v>0.2025819857070148</c:v>
                </c:pt>
                <c:pt idx="5">
                  <c:v>8.3844021723054505E-4</c:v>
                </c:pt>
                <c:pt idx="6">
                  <c:v>9.6721967031672732E-4</c:v>
                </c:pt>
                <c:pt idx="7">
                  <c:v>0.34465471154192218</c:v>
                </c:pt>
                <c:pt idx="8">
                  <c:v>1.091656695491183E-3</c:v>
                </c:pt>
                <c:pt idx="9">
                  <c:v>9.3670475893089242E-4</c:v>
                </c:pt>
                <c:pt idx="10">
                  <c:v>0.33641489904640026</c:v>
                </c:pt>
                <c:pt idx="11">
                  <c:v>6.1800156952349279E-4</c:v>
                </c:pt>
                <c:pt idx="12">
                  <c:v>8.0514276344585526E-4</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data!$TZ$42:$TZ$54</c:f>
              <c:numCache>
                <c:formatCode>0.00E+00</c:formatCode>
                <c:ptCount val="13"/>
                <c:pt idx="1">
                  <c:v>0.70804458865688424</c:v>
                </c:pt>
                <c:pt idx="2">
                  <c:v>1.3020981432050214</c:v>
                </c:pt>
                <c:pt idx="3">
                  <c:v>1.3141884870338263</c:v>
                </c:pt>
                <c:pt idx="4">
                  <c:v>0.71550956525224452</c:v>
                </c:pt>
                <c:pt idx="5">
                  <c:v>1.3182048896364529</c:v>
                </c:pt>
                <c:pt idx="6">
                  <c:v>1.3163785552778788</c:v>
                </c:pt>
                <c:pt idx="7">
                  <c:v>0.71844827018987634</c:v>
                </c:pt>
                <c:pt idx="8">
                  <c:v>1.0758843297214056</c:v>
                </c:pt>
                <c:pt idx="9">
                  <c:v>1.3202340936721682</c:v>
                </c:pt>
                <c:pt idx="10">
                  <c:v>0.68973423482035578</c:v>
                </c:pt>
                <c:pt idx="11">
                  <c:v>1.3147737844184513</c:v>
                </c:pt>
                <c:pt idx="12">
                  <c:v>1.3157157842280183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data!$UA$42:$UA$54</c:f>
              <c:numCache>
                <c:formatCode>0.00E+00</c:formatCode>
                <c:ptCount val="13"/>
                <c:pt idx="1">
                  <c:v>1.3031598425565452</c:v>
                </c:pt>
                <c:pt idx="2">
                  <c:v>2.3621545737462073</c:v>
                </c:pt>
                <c:pt idx="3">
                  <c:v>2.368809383233657</c:v>
                </c:pt>
                <c:pt idx="4">
                  <c:v>1.3110021304941468</c:v>
                </c:pt>
                <c:pt idx="5">
                  <c:v>2.3808935436795311</c:v>
                </c:pt>
                <c:pt idx="6">
                  <c:v>2.3825526815045599</c:v>
                </c:pt>
                <c:pt idx="7">
                  <c:v>1.2888170672041437</c:v>
                </c:pt>
                <c:pt idx="8">
                  <c:v>2.4289371931650843</c:v>
                </c:pt>
                <c:pt idx="9">
                  <c:v>2.3791236329926946</c:v>
                </c:pt>
                <c:pt idx="10">
                  <c:v>1.2731195558249493</c:v>
                </c:pt>
                <c:pt idx="11">
                  <c:v>2.3795166530999303</c:v>
                </c:pt>
                <c:pt idx="12">
                  <c:v>2.3753099321328497</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data!$TR$31:$TR$35</c:f>
              <c:numCache>
                <c:formatCode>General</c:formatCode>
                <c:ptCount val="5"/>
                <c:pt idx="0" formatCode="0.00E+00">
                  <c:v>0.61739060680806224</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data!$TT$31:$TT$35</c:f>
              <c:numCache>
                <c:formatCode>General</c:formatCode>
                <c:ptCount val="5"/>
                <c:pt idx="0" formatCode="0.00E+00">
                  <c:v>2.3664826932207763</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data!$TU$31:$TU$35</c:f>
              <c:numCache>
                <c:formatCode>General</c:formatCode>
                <c:ptCount val="5"/>
                <c:pt idx="0" formatCode="0.00E+00">
                  <c:v>0.7070851020447636</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data!$TV$31:$TV$35</c:f>
              <c:numCache>
                <c:formatCode>General</c:formatCode>
                <c:ptCount val="5"/>
                <c:pt idx="0" formatCode="0.00E+00">
                  <c:v>0.34770982300000003</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data!$UE$42:$UE$54</c:f>
              <c:numCache>
                <c:formatCode>0.00E+00</c:formatCode>
                <c:ptCount val="13"/>
                <c:pt idx="1">
                  <c:v>8.0856715593736292E-2</c:v>
                </c:pt>
                <c:pt idx="2">
                  <c:v>7.9281671040994386E-2</c:v>
                </c:pt>
                <c:pt idx="3">
                  <c:v>7.9161187076853018E-2</c:v>
                </c:pt>
                <c:pt idx="4">
                  <c:v>8.1057609235750949E-2</c:v>
                </c:pt>
                <c:pt idx="5">
                  <c:v>7.826060201458962E-2</c:v>
                </c:pt>
                <c:pt idx="6">
                  <c:v>7.9242467597972044E-2</c:v>
                </c:pt>
                <c:pt idx="7">
                  <c:v>7.8472040743052057E-2</c:v>
                </c:pt>
                <c:pt idx="8">
                  <c:v>7.8549811134637923E-2</c:v>
                </c:pt>
                <c:pt idx="9">
                  <c:v>7.9360432839990266E-2</c:v>
                </c:pt>
                <c:pt idx="10">
                  <c:v>7.8726664961640144E-2</c:v>
                </c:pt>
                <c:pt idx="11">
                  <c:v>7.8616319773947951E-2</c:v>
                </c:pt>
                <c:pt idx="12">
                  <c:v>7.9013788520787165E-2</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data!$UK$42:$UK$54</c:f>
              <c:numCache>
                <c:formatCode>0.00E+00</c:formatCode>
                <c:ptCount val="13"/>
                <c:pt idx="1">
                  <c:v>4.160385313300841</c:v>
                </c:pt>
                <c:pt idx="2">
                  <c:v>1.8842514019518555</c:v>
                </c:pt>
                <c:pt idx="3">
                  <c:v>1.8654412080825029</c:v>
                </c:pt>
                <c:pt idx="4">
                  <c:v>4.1582637686151305</c:v>
                </c:pt>
                <c:pt idx="5">
                  <c:v>1.8212225204029924</c:v>
                </c:pt>
                <c:pt idx="6">
                  <c:v>1.820631855530497</c:v>
                </c:pt>
                <c:pt idx="7">
                  <c:v>4.0961406471179593</c:v>
                </c:pt>
                <c:pt idx="8">
                  <c:v>2.3055785706874752</c:v>
                </c:pt>
                <c:pt idx="9">
                  <c:v>1.8405798464458902</c:v>
                </c:pt>
                <c:pt idx="10">
                  <c:v>4.0976906893866678</c:v>
                </c:pt>
                <c:pt idx="11">
                  <c:v>1.84717378650689</c:v>
                </c:pt>
                <c:pt idx="12">
                  <c:v>1.8487002197088622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data!$UN$42:$UN$54</c:f>
              <c:numCache>
                <c:formatCode>0.00E+00</c:formatCode>
                <c:ptCount val="13"/>
                <c:pt idx="1">
                  <c:v>2.1409470630758718</c:v>
                </c:pt>
                <c:pt idx="2">
                  <c:v>1.5385731666629945</c:v>
                </c:pt>
                <c:pt idx="3">
                  <c:v>1.5386759046147405</c:v>
                </c:pt>
                <c:pt idx="4">
                  <c:v>2.1420871966390131</c:v>
                </c:pt>
                <c:pt idx="5">
                  <c:v>1.5471982761964846</c:v>
                </c:pt>
                <c:pt idx="6">
                  <c:v>1.5490740617177945</c:v>
                </c:pt>
                <c:pt idx="7">
                  <c:v>2.0986588148240135</c:v>
                </c:pt>
                <c:pt idx="8">
                  <c:v>1.3438464619512751</c:v>
                </c:pt>
                <c:pt idx="9">
                  <c:v>1.5454112802129729</c:v>
                </c:pt>
                <c:pt idx="10">
                  <c:v>2.0842131308555327</c:v>
                </c:pt>
                <c:pt idx="11">
                  <c:v>1.5467233456802758</c:v>
                </c:pt>
                <c:pt idx="12">
                  <c:v>1.5432330873866127</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data!$UP$42:$UP$54</c:f>
              <c:numCache>
                <c:formatCode>0.00E+00</c:formatCode>
                <c:ptCount val="13"/>
                <c:pt idx="1">
                  <c:v>0.34515996762965317</c:v>
                </c:pt>
                <c:pt idx="2">
                  <c:v>0.52079798331187355</c:v>
                </c:pt>
                <c:pt idx="3">
                  <c:v>0.52832523556802635</c:v>
                </c:pt>
                <c:pt idx="4">
                  <c:v>0.35022367881682998</c:v>
                </c:pt>
                <c:pt idx="5">
                  <c:v>0.53044454243146455</c:v>
                </c:pt>
                <c:pt idx="6">
                  <c:v>0.52888797004275578</c:v>
                </c:pt>
                <c:pt idx="7">
                  <c:v>0.33827323287708877</c:v>
                </c:pt>
                <c:pt idx="8">
                  <c:v>0.4705078584733367</c:v>
                </c:pt>
                <c:pt idx="9">
                  <c:v>0.52926366772147848</c:v>
                </c:pt>
                <c:pt idx="10">
                  <c:v>0.33677825735441225</c:v>
                </c:pt>
                <c:pt idx="11">
                  <c:v>0.52923735323814625</c:v>
                </c:pt>
                <c:pt idx="12">
                  <c:v>0.52913780213197792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data!$UR$42:$UR$54</c:f>
              <c:numCache>
                <c:formatCode>0.00E+00</c:formatCode>
                <c:ptCount val="13"/>
                <c:pt idx="1">
                  <c:v>0.24736637039733958</c:v>
                </c:pt>
                <c:pt idx="2">
                  <c:v>0.3830465353649366</c:v>
                </c:pt>
                <c:pt idx="3">
                  <c:v>0.37501714659734559</c:v>
                </c:pt>
                <c:pt idx="4">
                  <c:v>0.23911726523986943</c:v>
                </c:pt>
                <c:pt idx="5">
                  <c:v>0.39149206542125481</c:v>
                </c:pt>
                <c:pt idx="6">
                  <c:v>0.39031926865822458</c:v>
                </c:pt>
                <c:pt idx="7">
                  <c:v>0.23520593550194482</c:v>
                </c:pt>
                <c:pt idx="8">
                  <c:v>0.36455227817129399</c:v>
                </c:pt>
                <c:pt idx="9">
                  <c:v>0.37335818135587523</c:v>
                </c:pt>
                <c:pt idx="10">
                  <c:v>0.23150944775004145</c:v>
                </c:pt>
                <c:pt idx="11">
                  <c:v>0.37388091571283533</c:v>
                </c:pt>
                <c:pt idx="12">
                  <c:v>0.37794248312744677</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data!$US$42:$US$54</c:f>
              <c:numCache>
                <c:formatCode>0.00E+00</c:formatCode>
                <c:ptCount val="13"/>
                <c:pt idx="1">
                  <c:v>0.21599821878912928</c:v>
                </c:pt>
                <c:pt idx="2">
                  <c:v>1.0349247161175836E-3</c:v>
                </c:pt>
                <c:pt idx="3">
                  <c:v>8.6816779304797872E-4</c:v>
                </c:pt>
                <c:pt idx="4">
                  <c:v>0.2025819857070148</c:v>
                </c:pt>
                <c:pt idx="5">
                  <c:v>8.3844021723054505E-4</c:v>
                </c:pt>
                <c:pt idx="6">
                  <c:v>9.6721967031672732E-4</c:v>
                </c:pt>
                <c:pt idx="7">
                  <c:v>0.34465471154192218</c:v>
                </c:pt>
                <c:pt idx="8">
                  <c:v>1.091656695491183E-3</c:v>
                </c:pt>
                <c:pt idx="9">
                  <c:v>9.3670475893089242E-4</c:v>
                </c:pt>
                <c:pt idx="10">
                  <c:v>0.33641489904640026</c:v>
                </c:pt>
                <c:pt idx="11">
                  <c:v>6.1800156952349279E-4</c:v>
                </c:pt>
                <c:pt idx="12">
                  <c:v>8.0514276344585526E-4</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data!$UT$42:$UT$54</c:f>
              <c:numCache>
                <c:formatCode>0.00E+00</c:formatCode>
                <c:ptCount val="13"/>
                <c:pt idx="1">
                  <c:v>0.70804458865688424</c:v>
                </c:pt>
                <c:pt idx="2">
                  <c:v>1.3020981432050214</c:v>
                </c:pt>
                <c:pt idx="3">
                  <c:v>1.3141884870338263</c:v>
                </c:pt>
                <c:pt idx="4">
                  <c:v>0.71550956525224452</c:v>
                </c:pt>
                <c:pt idx="5">
                  <c:v>1.3182048896364529</c:v>
                </c:pt>
                <c:pt idx="6">
                  <c:v>1.3163785552778788</c:v>
                </c:pt>
                <c:pt idx="7">
                  <c:v>0.71844827018987634</c:v>
                </c:pt>
                <c:pt idx="8">
                  <c:v>1.0758843297214056</c:v>
                </c:pt>
                <c:pt idx="9">
                  <c:v>1.3202340936721682</c:v>
                </c:pt>
                <c:pt idx="10">
                  <c:v>0.68973423482035578</c:v>
                </c:pt>
                <c:pt idx="11">
                  <c:v>1.3147737844184513</c:v>
                </c:pt>
                <c:pt idx="12">
                  <c:v>1.3157157842280183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9</c:v>
                  </c:pt>
                  <c:pt idx="7">
                    <c:v>Process
5</c:v>
                  </c:pt>
                  <c:pt idx="10">
                    <c:v>Process
13</c:v>
                  </c:pt>
                </c:lvl>
              </c:multiLvlStrCache>
            </c:multiLvlStrRef>
          </c:cat>
          <c:val>
            <c:numRef>
              <c:f>data!$UX$42:$UX$54</c:f>
              <c:numCache>
                <c:formatCode>0.00E+00</c:formatCode>
                <c:ptCount val="13"/>
                <c:pt idx="1">
                  <c:v>1.3031598425565452</c:v>
                </c:pt>
                <c:pt idx="2">
                  <c:v>2.3621545737462073</c:v>
                </c:pt>
                <c:pt idx="3">
                  <c:v>2.368809383233657</c:v>
                </c:pt>
                <c:pt idx="4">
                  <c:v>1.3110021304941468</c:v>
                </c:pt>
                <c:pt idx="5">
                  <c:v>2.3808935436795311</c:v>
                </c:pt>
                <c:pt idx="6">
                  <c:v>2.3825526815045599</c:v>
                </c:pt>
                <c:pt idx="7">
                  <c:v>1.2888170672041437</c:v>
                </c:pt>
                <c:pt idx="8">
                  <c:v>2.4289371931650843</c:v>
                </c:pt>
                <c:pt idx="9">
                  <c:v>2.3791236329926946</c:v>
                </c:pt>
                <c:pt idx="10">
                  <c:v>1.2731195558249493</c:v>
                </c:pt>
                <c:pt idx="11">
                  <c:v>2.3795166530999303</c:v>
                </c:pt>
                <c:pt idx="12">
                  <c:v>2.3753099321328497</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0.61739060680806224</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2.3664826932207763</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0.7070851020447636</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0.34770982300000003</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1.4973587749104804E-2</c:v>
                </c:pt>
                <c:pt idx="1">
                  <c:v>2.0272417234555424E-3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2.4326179922382739E-3</c:v>
                </c:pt>
                <c:pt idx="1">
                  <c:v>2.3239685788933955E-3</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1.4973587749104804E-2</c:v>
                </c:pt>
                <c:pt idx="1">
                  <c:v>2.0272417234555424E-3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topLeftCell="A50" zoomScale="167" zoomScaleNormal="70" workbookViewId="0">
      <selection activeCell="J5" sqref="J5:M5"/>
    </sheetView>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Thu Oct 10 16:35:19 2024</v>
      </c>
      <c r="D3" s="786"/>
      <c r="E3" s="786"/>
      <c r="F3" s="787"/>
      <c r="H3" s="793" t="str">
        <f>data!F10</f>
        <v>Process no.</v>
      </c>
      <c r="I3" s="794"/>
      <c r="J3" s="767">
        <f>data!G10</f>
        <v>1</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1</v>
      </c>
      <c r="K4" s="797"/>
      <c r="L4" s="797"/>
      <c r="M4" s="798"/>
      <c r="O4" s="774" t="str">
        <f>data!F15</f>
        <v>CPU frequency (GHz)</v>
      </c>
      <c r="P4" s="775"/>
      <c r="Q4" s="801">
        <f>data!G15</f>
        <v>1.6736976020764576</v>
      </c>
      <c r="R4" s="801"/>
      <c r="S4" s="801"/>
      <c r="T4" s="802"/>
    </row>
    <row r="5" spans="1:44" ht="17" thickBot="1">
      <c r="H5" s="774" t="str">
        <f>data!F12</f>
        <v>Measured region</v>
      </c>
      <c r="I5" s="775"/>
      <c r="J5" s="776" t="str">
        <f>data!G12</f>
        <v>all, 0</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1</v>
      </c>
      <c r="B14" s="106">
        <f>data!$NB$30</f>
        <v>0</v>
      </c>
      <c r="C14" s="39">
        <f>data!NC30</f>
        <v>9.2019180800000004</v>
      </c>
      <c r="D14" s="41">
        <f>data!ND30</f>
        <v>1.3162096415881155</v>
      </c>
      <c r="E14" s="40">
        <f>data!NE30</f>
        <v>2.4575258546465698E-2</v>
      </c>
      <c r="F14" s="41">
        <f>data!NF30</f>
        <v>1.458710083191699</v>
      </c>
      <c r="G14" s="607">
        <f>data!NG42</f>
        <v>4.119598853761644E-2</v>
      </c>
      <c r="H14" s="30">
        <f>data!NH30</f>
        <v>8225904756</v>
      </c>
      <c r="I14" s="30">
        <f>data!NI30</f>
        <v>12111653298</v>
      </c>
      <c r="J14" s="50">
        <f>data!NJ30</f>
        <v>0.26680685700854473</v>
      </c>
      <c r="K14" s="50">
        <f>data!NK30</f>
        <v>0.8802466353425501</v>
      </c>
      <c r="L14" s="50">
        <f>data!NL30</f>
        <v>0.66293842518606305</v>
      </c>
      <c r="M14" s="52">
        <f>data!NM30</f>
        <v>0.53410706184116685</v>
      </c>
      <c r="N14" s="53">
        <f>data!NN30</f>
        <v>0.89393370865566324</v>
      </c>
      <c r="P14" s="105">
        <f>data!$NA$30</f>
        <v>1</v>
      </c>
      <c r="Q14" s="106">
        <f>data!$NB$30</f>
        <v>0</v>
      </c>
      <c r="R14" s="93">
        <f>data!NO30</f>
        <v>8.0856715593736292E-2</v>
      </c>
      <c r="S14" s="94" t="str">
        <f>data!NP30</f>
        <v/>
      </c>
      <c r="T14" s="94" t="str">
        <f>data!NQ30</f>
        <v/>
      </c>
      <c r="U14" s="94" t="str">
        <f>data!NR30</f>
        <v/>
      </c>
      <c r="V14" s="94" t="str">
        <f>data!NS30</f>
        <v/>
      </c>
      <c r="W14" s="94" t="str">
        <f>data!NT30</f>
        <v/>
      </c>
      <c r="X14" s="94">
        <f>data!NU30</f>
        <v>4.160385313300841</v>
      </c>
      <c r="Y14" s="94" t="str">
        <f>data!NV30</f>
        <v/>
      </c>
      <c r="Z14" s="94" t="str">
        <f>data!NW30</f>
        <v/>
      </c>
      <c r="AA14" s="94">
        <f>data!NX30</f>
        <v>2.1409470630758718</v>
      </c>
      <c r="AB14" s="94" t="str">
        <f>data!NY30</f>
        <v/>
      </c>
      <c r="AC14" s="94">
        <f>data!NZ30</f>
        <v>0.34515996762965317</v>
      </c>
      <c r="AD14" s="94">
        <f>data!OA30</f>
        <v>0</v>
      </c>
      <c r="AE14" s="94">
        <f>data!OB30</f>
        <v>0.24736637039733958</v>
      </c>
      <c r="AF14" s="94">
        <f>data!OC30</f>
        <v>0.21599821878912928</v>
      </c>
      <c r="AG14" s="94">
        <f>data!OD30</f>
        <v>0.70804458865688424</v>
      </c>
      <c r="AH14" s="94" t="str">
        <f>data!OE30</f>
        <v/>
      </c>
      <c r="AI14" s="94" t="str">
        <f>data!OF30</f>
        <v/>
      </c>
      <c r="AJ14" s="94" t="str">
        <f>data!OG30</f>
        <v/>
      </c>
      <c r="AK14" s="94">
        <f>data!OH30</f>
        <v>1.3031598425565452</v>
      </c>
      <c r="AL14" s="95">
        <f>data!OI30</f>
        <v>9.2019180800000004</v>
      </c>
      <c r="AR14" s="20"/>
    </row>
    <row r="15" spans="1:44" ht="15.75" customHeight="1">
      <c r="A15" s="107">
        <f>data!$NA$31</f>
        <v>1</v>
      </c>
      <c r="B15" s="108">
        <f>data!$NB$31</f>
        <v>1</v>
      </c>
      <c r="C15" s="42">
        <f>data!NC31</f>
        <v>8.0712384000000004</v>
      </c>
      <c r="D15" s="11">
        <f>data!ND31</f>
        <v>0.81025363381658999</v>
      </c>
      <c r="E15" s="4">
        <f>data!NE31</f>
        <v>1.5128435402760262E-2</v>
      </c>
      <c r="F15" s="11">
        <f>data!NF31</f>
        <v>0.53091436179112239</v>
      </c>
      <c r="G15" s="608"/>
      <c r="H15" s="5">
        <f>data!NH31</f>
        <v>16708818808</v>
      </c>
      <c r="I15" s="5">
        <f>data!NI31</f>
        <v>6539750243</v>
      </c>
      <c r="J15" s="51">
        <f>data!NJ31</f>
        <v>7.3096101587697582E-2</v>
      </c>
      <c r="K15" s="113">
        <f>data!NK31</f>
        <v>0.92070151431928315</v>
      </c>
      <c r="L15" s="113">
        <f>data!NL31</f>
        <v>0.61453837588703297</v>
      </c>
      <c r="M15" s="54">
        <f>data!NM31</f>
        <v>1.223675453682521</v>
      </c>
      <c r="N15" s="55">
        <f>data!NN31</f>
        <v>2.0701679197085792</v>
      </c>
      <c r="P15" s="109">
        <f>data!$NA$31</f>
        <v>1</v>
      </c>
      <c r="Q15" s="110">
        <f>data!$NB$31</f>
        <v>1</v>
      </c>
      <c r="R15" s="96">
        <f>data!NO31</f>
        <v>7.9281671040994386E-2</v>
      </c>
      <c r="S15" s="97" t="str">
        <f>data!NP31</f>
        <v/>
      </c>
      <c r="T15" s="97" t="str">
        <f>data!NQ31</f>
        <v/>
      </c>
      <c r="U15" s="97" t="str">
        <f>data!NR31</f>
        <v/>
      </c>
      <c r="V15" s="97" t="str">
        <f>data!NS31</f>
        <v/>
      </c>
      <c r="W15" s="97" t="str">
        <f>data!NT31</f>
        <v/>
      </c>
      <c r="X15" s="97">
        <f>data!NU31</f>
        <v>1.8842514019518555</v>
      </c>
      <c r="Y15" s="97" t="str">
        <f>data!NV31</f>
        <v/>
      </c>
      <c r="Z15" s="97" t="str">
        <f>data!NW31</f>
        <v/>
      </c>
      <c r="AA15" s="97">
        <f>data!NX31</f>
        <v>1.5385731666629945</v>
      </c>
      <c r="AB15" s="97" t="str">
        <f>data!NY31</f>
        <v/>
      </c>
      <c r="AC15" s="97">
        <f>data!NZ31</f>
        <v>0.52079798331187355</v>
      </c>
      <c r="AD15" s="97">
        <f>data!OA31</f>
        <v>0</v>
      </c>
      <c r="AE15" s="97">
        <f>data!OB31</f>
        <v>0.3830465353649366</v>
      </c>
      <c r="AF15" s="97">
        <f>data!OC31</f>
        <v>1.0349247161175836E-3</v>
      </c>
      <c r="AG15" s="97">
        <f>data!OD31</f>
        <v>1.3020981432050214</v>
      </c>
      <c r="AH15" s="97" t="str">
        <f>data!OE31</f>
        <v/>
      </c>
      <c r="AI15" s="97" t="str">
        <f>data!OF31</f>
        <v/>
      </c>
      <c r="AJ15" s="97" t="str">
        <f>data!OG31</f>
        <v/>
      </c>
      <c r="AK15" s="97">
        <f>data!OH31</f>
        <v>2.3621545737462073</v>
      </c>
      <c r="AL15" s="98">
        <f>data!OI31</f>
        <v>8.0712384000000004</v>
      </c>
      <c r="AR15" s="20"/>
    </row>
    <row r="16" spans="1:44" ht="15.75" customHeight="1">
      <c r="A16" s="107">
        <f>data!$NA$32</f>
        <v>1</v>
      </c>
      <c r="B16" s="108">
        <f>data!$NB$32</f>
        <v>2</v>
      </c>
      <c r="C16" s="42">
        <f>data!NC32</f>
        <v>8.0704867199999999</v>
      </c>
      <c r="D16" s="11">
        <f>data!ND32</f>
        <v>0.80996292711822959</v>
      </c>
      <c r="E16" s="4">
        <f>data!NE32</f>
        <v>1.5123007549895746E-2</v>
      </c>
      <c r="F16" s="11">
        <f>data!NF32</f>
        <v>0.56122242302630287</v>
      </c>
      <c r="G16" s="608"/>
      <c r="H16" s="5">
        <f>data!NH32</f>
        <v>16683863276</v>
      </c>
      <c r="I16" s="5">
        <f>data!NI32</f>
        <v>6536795047</v>
      </c>
      <c r="J16" s="51">
        <f>data!NJ32</f>
        <v>7.3163982934092708E-2</v>
      </c>
      <c r="K16" s="113">
        <f>data!NK32</f>
        <v>0.92080030729468887</v>
      </c>
      <c r="L16" s="113">
        <f>data!NL32</f>
        <v>0.61363522299382611</v>
      </c>
      <c r="M16" s="54">
        <f>data!NM32</f>
        <v>1.2219450557929659</v>
      </c>
      <c r="N16" s="55">
        <f>data!NN32</f>
        <v>2.0672685371818567</v>
      </c>
      <c r="P16" s="109">
        <f>data!$NA$32</f>
        <v>1</v>
      </c>
      <c r="Q16" s="110">
        <f>data!$NB$32</f>
        <v>2</v>
      </c>
      <c r="R16" s="96">
        <f>data!NO32</f>
        <v>7.9161187076853018E-2</v>
      </c>
      <c r="S16" s="97" t="str">
        <f>data!NP32</f>
        <v/>
      </c>
      <c r="T16" s="97" t="str">
        <f>data!NQ32</f>
        <v/>
      </c>
      <c r="U16" s="97" t="str">
        <f>data!NR32</f>
        <v/>
      </c>
      <c r="V16" s="97" t="str">
        <f>data!NS32</f>
        <v/>
      </c>
      <c r="W16" s="97" t="str">
        <f>data!NT32</f>
        <v/>
      </c>
      <c r="X16" s="97">
        <f>data!NU32</f>
        <v>1.8654412080825029</v>
      </c>
      <c r="Y16" s="97" t="str">
        <f>data!NV32</f>
        <v/>
      </c>
      <c r="Z16" s="97" t="str">
        <f>data!NW32</f>
        <v/>
      </c>
      <c r="AA16" s="97">
        <f>data!NX32</f>
        <v>1.5386759046147405</v>
      </c>
      <c r="AB16" s="97" t="str">
        <f>data!NY32</f>
        <v/>
      </c>
      <c r="AC16" s="97">
        <f>data!NZ32</f>
        <v>0.52832523556802635</v>
      </c>
      <c r="AD16" s="97">
        <f>data!OA32</f>
        <v>0</v>
      </c>
      <c r="AE16" s="97">
        <f>data!OB32</f>
        <v>0.37501714659734559</v>
      </c>
      <c r="AF16" s="97">
        <f>data!OC32</f>
        <v>8.6816779304797872E-4</v>
      </c>
      <c r="AG16" s="97">
        <f>data!OD32</f>
        <v>1.3141884870338263</v>
      </c>
      <c r="AH16" s="97" t="str">
        <f>data!OE32</f>
        <v/>
      </c>
      <c r="AI16" s="97" t="str">
        <f>data!OF32</f>
        <v/>
      </c>
      <c r="AJ16" s="97" t="str">
        <f>data!OG32</f>
        <v/>
      </c>
      <c r="AK16" s="97">
        <f>data!OH32</f>
        <v>2.368809383233657</v>
      </c>
      <c r="AL16" s="98">
        <f>data!OI32</f>
        <v>8.0704867199999999</v>
      </c>
      <c r="AR16" s="20"/>
    </row>
    <row r="17" spans="1:44" ht="15.75" customHeight="1">
      <c r="A17" s="107">
        <f>data!$NA$33</f>
        <v>9</v>
      </c>
      <c r="B17" s="108">
        <f>data!$NB$33</f>
        <v>0</v>
      </c>
      <c r="C17" s="42">
        <f>data!NC33</f>
        <v>9.1998432000000001</v>
      </c>
      <c r="D17" s="11">
        <f>data!ND33</f>
        <v>1.3165531502754309</v>
      </c>
      <c r="E17" s="4">
        <f>data!NE33</f>
        <v>2.4581672277635108E-2</v>
      </c>
      <c r="F17" s="11">
        <f>data!NF33</f>
        <v>1.4679299090662763</v>
      </c>
      <c r="G17" s="608"/>
      <c r="H17" s="5">
        <f>data!NH33</f>
        <v>8097257722</v>
      </c>
      <c r="I17" s="5">
        <f>data!NI33</f>
        <v>12112082547</v>
      </c>
      <c r="J17" s="51">
        <f>data!NJ33</f>
        <v>0.27105088936923427</v>
      </c>
      <c r="K17" s="113">
        <f>data!NK33</f>
        <v>0.88021779628975971</v>
      </c>
      <c r="L17" s="113">
        <f>data!NL33</f>
        <v>0.66281706424874265</v>
      </c>
      <c r="M17" s="54">
        <f>data!NM33</f>
        <v>0.52544841026978251</v>
      </c>
      <c r="N17" s="55">
        <f>data!NN33</f>
        <v>0.88015170975957502</v>
      </c>
      <c r="P17" s="109">
        <f>data!$NA$33</f>
        <v>9</v>
      </c>
      <c r="Q17" s="110">
        <f>data!$NB$33</f>
        <v>0</v>
      </c>
      <c r="R17" s="96">
        <f>data!NO33</f>
        <v>8.1057609235750949E-2</v>
      </c>
      <c r="S17" s="97" t="str">
        <f>data!NP33</f>
        <v/>
      </c>
      <c r="T17" s="97" t="str">
        <f>data!NQ33</f>
        <v/>
      </c>
      <c r="U17" s="97" t="str">
        <f>data!NR33</f>
        <v/>
      </c>
      <c r="V17" s="97" t="str">
        <f>data!NS33</f>
        <v/>
      </c>
      <c r="W17" s="97" t="str">
        <f>data!NT33</f>
        <v/>
      </c>
      <c r="X17" s="97">
        <f>data!NU33</f>
        <v>4.1582637686151305</v>
      </c>
      <c r="Y17" s="97" t="str">
        <f>data!NV33</f>
        <v/>
      </c>
      <c r="Z17" s="97" t="str">
        <f>data!NW33</f>
        <v/>
      </c>
      <c r="AA17" s="97">
        <f>data!NX33</f>
        <v>2.1420871966390131</v>
      </c>
      <c r="AB17" s="97" t="str">
        <f>data!NY33</f>
        <v/>
      </c>
      <c r="AC17" s="97">
        <f>data!NZ33</f>
        <v>0.35022367881682998</v>
      </c>
      <c r="AD17" s="97">
        <f>data!OA33</f>
        <v>0</v>
      </c>
      <c r="AE17" s="97">
        <f>data!OB33</f>
        <v>0.23911726523986943</v>
      </c>
      <c r="AF17" s="97">
        <f>data!OC33</f>
        <v>0.2025819857070148</v>
      </c>
      <c r="AG17" s="97">
        <f>data!OD33</f>
        <v>0.71550956525224452</v>
      </c>
      <c r="AH17" s="97" t="str">
        <f>data!OE33</f>
        <v/>
      </c>
      <c r="AI17" s="97" t="str">
        <f>data!OF33</f>
        <v/>
      </c>
      <c r="AJ17" s="97" t="str">
        <f>data!OG33</f>
        <v/>
      </c>
      <c r="AK17" s="97">
        <f>data!OH33</f>
        <v>1.3110021304941468</v>
      </c>
      <c r="AL17" s="98">
        <f>data!OI33</f>
        <v>9.1998432000000001</v>
      </c>
      <c r="AR17" s="20"/>
    </row>
    <row r="18" spans="1:44" ht="15.75" customHeight="1">
      <c r="A18" s="107">
        <f>data!$NA$34</f>
        <v>9</v>
      </c>
      <c r="B18" s="108">
        <f>data!$NB$34</f>
        <v>1</v>
      </c>
      <c r="C18" s="42">
        <f>data!NC34</f>
        <v>8.0685548800000007</v>
      </c>
      <c r="D18" s="11">
        <f>data!ND34</f>
        <v>0.81052617776827951</v>
      </c>
      <c r="E18" s="4">
        <f>data!NE34</f>
        <v>1.5133524134726975E-2</v>
      </c>
      <c r="F18" s="11">
        <f>data!NF34</f>
        <v>0.53070461708255734</v>
      </c>
      <c r="G18" s="608"/>
      <c r="H18" s="5">
        <f>data!NH34</f>
        <v>16512089086</v>
      </c>
      <c r="I18" s="5">
        <f>data!NI34</f>
        <v>6539774947</v>
      </c>
      <c r="J18" s="51">
        <f>data!NJ34</f>
        <v>7.3967172696248376E-2</v>
      </c>
      <c r="K18" s="113">
        <f>data!NK34</f>
        <v>0.92070181386931449</v>
      </c>
      <c r="L18" s="113">
        <f>data!NL34</f>
        <v>0.6145360603065867</v>
      </c>
      <c r="M18" s="54">
        <f>data!NM34</f>
        <v>1.211127011599461</v>
      </c>
      <c r="N18" s="55">
        <f>data!NN34</f>
        <v>2.0464741619257598</v>
      </c>
      <c r="P18" s="109">
        <f>data!$NA$34</f>
        <v>9</v>
      </c>
      <c r="Q18" s="110">
        <f>data!$NB$34</f>
        <v>1</v>
      </c>
      <c r="R18" s="96">
        <f>data!NO34</f>
        <v>7.826060201458962E-2</v>
      </c>
      <c r="S18" s="97" t="str">
        <f>data!NP34</f>
        <v/>
      </c>
      <c r="T18" s="97" t="str">
        <f>data!NQ34</f>
        <v/>
      </c>
      <c r="U18" s="97" t="str">
        <f>data!NR34</f>
        <v/>
      </c>
      <c r="V18" s="97" t="str">
        <f>data!NS34</f>
        <v/>
      </c>
      <c r="W18" s="97" t="str">
        <f>data!NT34</f>
        <v/>
      </c>
      <c r="X18" s="97">
        <f>data!NU34</f>
        <v>1.8212225204029924</v>
      </c>
      <c r="Y18" s="97" t="str">
        <f>data!NV34</f>
        <v/>
      </c>
      <c r="Z18" s="97" t="str">
        <f>data!NW34</f>
        <v/>
      </c>
      <c r="AA18" s="97">
        <f>data!NX34</f>
        <v>1.5471982761964846</v>
      </c>
      <c r="AB18" s="97" t="str">
        <f>data!NY34</f>
        <v/>
      </c>
      <c r="AC18" s="97">
        <f>data!NZ34</f>
        <v>0.53044454243146455</v>
      </c>
      <c r="AD18" s="97">
        <f>data!OA34</f>
        <v>0</v>
      </c>
      <c r="AE18" s="97">
        <f>data!OB34</f>
        <v>0.39149206542125481</v>
      </c>
      <c r="AF18" s="97">
        <f>data!OC34</f>
        <v>8.3844021723054505E-4</v>
      </c>
      <c r="AG18" s="97">
        <f>data!OD34</f>
        <v>1.3182048896364529</v>
      </c>
      <c r="AH18" s="97" t="str">
        <f>data!OE34</f>
        <v/>
      </c>
      <c r="AI18" s="97" t="str">
        <f>data!OF34</f>
        <v/>
      </c>
      <c r="AJ18" s="97" t="str">
        <f>data!OG34</f>
        <v/>
      </c>
      <c r="AK18" s="97">
        <f>data!OH34</f>
        <v>2.3808935436795311</v>
      </c>
      <c r="AL18" s="98">
        <f>data!OI34</f>
        <v>8.0685548800000007</v>
      </c>
      <c r="AR18" s="20"/>
    </row>
    <row r="19" spans="1:44" ht="15.75" customHeight="1">
      <c r="A19" s="107">
        <f>data!$NA$35</f>
        <v>9</v>
      </c>
      <c r="B19" s="108">
        <f>data!$NB$35</f>
        <v>2</v>
      </c>
      <c r="C19" s="42">
        <f>data!NC35</f>
        <v>8.0680540799999996</v>
      </c>
      <c r="D19" s="11">
        <f>data!ND35</f>
        <v>0.81021020511057362</v>
      </c>
      <c r="E19" s="4">
        <f>data!NE35</f>
        <v>1.5127624535216849E-2</v>
      </c>
      <c r="F19" s="11">
        <f>data!NF35</f>
        <v>0.56097099438381559</v>
      </c>
      <c r="G19" s="608"/>
      <c r="H19" s="5">
        <f>data!NH35</f>
        <v>16652713709</v>
      </c>
      <c r="I19" s="5">
        <f>data!NI35</f>
        <v>6536819751</v>
      </c>
      <c r="J19" s="51">
        <f>data!NJ35</f>
        <v>7.3301483910114096E-2</v>
      </c>
      <c r="K19" s="113">
        <f>data!NK35</f>
        <v>0.92080060660678298</v>
      </c>
      <c r="L19" s="113">
        <f>data!NL35</f>
        <v>0.61363239437761929</v>
      </c>
      <c r="M19" s="54">
        <f>data!NM35</f>
        <v>1.2214674721102332</v>
      </c>
      <c r="N19" s="55">
        <f>data!NN35</f>
        <v>2.0640309972984219</v>
      </c>
      <c r="P19" s="109">
        <f>data!$NA$35</f>
        <v>9</v>
      </c>
      <c r="Q19" s="110">
        <f>data!$NB$35</f>
        <v>2</v>
      </c>
      <c r="R19" s="96">
        <f>data!NO35</f>
        <v>7.9242467597972044E-2</v>
      </c>
      <c r="S19" s="97" t="str">
        <f>data!NP35</f>
        <v/>
      </c>
      <c r="T19" s="97" t="str">
        <f>data!NQ35</f>
        <v/>
      </c>
      <c r="U19" s="97" t="str">
        <f>data!NR35</f>
        <v/>
      </c>
      <c r="V19" s="97" t="str">
        <f>data!NS35</f>
        <v/>
      </c>
      <c r="W19" s="97" t="str">
        <f>data!NT35</f>
        <v/>
      </c>
      <c r="X19" s="97">
        <f>data!NU35</f>
        <v>1.820631855530497</v>
      </c>
      <c r="Y19" s="97" t="str">
        <f>data!NV35</f>
        <v/>
      </c>
      <c r="Z19" s="97" t="str">
        <f>data!NW35</f>
        <v/>
      </c>
      <c r="AA19" s="97">
        <f>data!NX35</f>
        <v>1.5490740617177945</v>
      </c>
      <c r="AB19" s="97" t="str">
        <f>data!NY35</f>
        <v/>
      </c>
      <c r="AC19" s="97">
        <f>data!NZ35</f>
        <v>0.52888797004275578</v>
      </c>
      <c r="AD19" s="97">
        <f>data!OA35</f>
        <v>0</v>
      </c>
      <c r="AE19" s="97">
        <f>data!OB35</f>
        <v>0.39031926865822458</v>
      </c>
      <c r="AF19" s="97">
        <f>data!OC35</f>
        <v>9.6721967031672732E-4</v>
      </c>
      <c r="AG19" s="97">
        <f>data!OD35</f>
        <v>1.3163785552778788</v>
      </c>
      <c r="AH19" s="97" t="str">
        <f>data!OE35</f>
        <v/>
      </c>
      <c r="AI19" s="97" t="str">
        <f>data!OF35</f>
        <v/>
      </c>
      <c r="AJ19" s="97" t="str">
        <f>data!OG35</f>
        <v/>
      </c>
      <c r="AK19" s="97">
        <f>data!OH35</f>
        <v>2.3825526815045599</v>
      </c>
      <c r="AL19" s="98">
        <f>data!OI35</f>
        <v>8.0680540799999996</v>
      </c>
      <c r="AR19" s="20"/>
    </row>
    <row r="20" spans="1:44" ht="15.75" customHeight="1">
      <c r="A20" s="107">
        <f>data!$NA$36</f>
        <v>5</v>
      </c>
      <c r="B20" s="108">
        <f>data!$NB$36</f>
        <v>0</v>
      </c>
      <c r="C20" s="42">
        <f>data!NC36</f>
        <v>9.1986707200000009</v>
      </c>
      <c r="D20" s="11">
        <f>data!ND36</f>
        <v>1.316661025453034</v>
      </c>
      <c r="E20" s="4">
        <f>data!NE36</f>
        <v>2.4583686440346409E-2</v>
      </c>
      <c r="F20" s="11">
        <f>data!NF36</f>
        <v>1.4533825583007713</v>
      </c>
      <c r="G20" s="608"/>
      <c r="H20" s="5">
        <f>data!NH36</f>
        <v>8142079587</v>
      </c>
      <c r="I20" s="5">
        <f>data!NI36</f>
        <v>12111531223</v>
      </c>
      <c r="J20" s="51">
        <f>data!NJ36</f>
        <v>0.2695912622255236</v>
      </c>
      <c r="K20" s="113">
        <f>data!NK36</f>
        <v>0.88025550755746917</v>
      </c>
      <c r="L20" s="113">
        <f>data!NL36</f>
        <v>0.66287406850826436</v>
      </c>
      <c r="M20" s="54">
        <f>data!NM36</f>
        <v>0.52855620330798592</v>
      </c>
      <c r="N20" s="55">
        <f>data!NN36</f>
        <v>0.88513654144584908</v>
      </c>
      <c r="P20" s="109">
        <f>data!$NA$36</f>
        <v>5</v>
      </c>
      <c r="Q20" s="110">
        <f>data!$NB$36</f>
        <v>0</v>
      </c>
      <c r="R20" s="96">
        <f>data!NO36</f>
        <v>7.8472040743052057E-2</v>
      </c>
      <c r="S20" s="97" t="str">
        <f>data!NP36</f>
        <v/>
      </c>
      <c r="T20" s="97" t="str">
        <f>data!NQ36</f>
        <v/>
      </c>
      <c r="U20" s="97" t="str">
        <f>data!NR36</f>
        <v/>
      </c>
      <c r="V20" s="97" t="str">
        <f>data!NS36</f>
        <v/>
      </c>
      <c r="W20" s="97" t="str">
        <f>data!NT36</f>
        <v/>
      </c>
      <c r="X20" s="97">
        <f>data!NU36</f>
        <v>4.0961406471179593</v>
      </c>
      <c r="Y20" s="97" t="str">
        <f>data!NV36</f>
        <v/>
      </c>
      <c r="Z20" s="97" t="str">
        <f>data!NW36</f>
        <v/>
      </c>
      <c r="AA20" s="97">
        <f>data!NX36</f>
        <v>2.0986588148240135</v>
      </c>
      <c r="AB20" s="97" t="str">
        <f>data!NY36</f>
        <v/>
      </c>
      <c r="AC20" s="97">
        <f>data!NZ36</f>
        <v>0.33827323287708877</v>
      </c>
      <c r="AD20" s="97">
        <f>data!OA36</f>
        <v>0</v>
      </c>
      <c r="AE20" s="97">
        <f>data!OB36</f>
        <v>0.23520593550194482</v>
      </c>
      <c r="AF20" s="97">
        <f>data!OC36</f>
        <v>0.34465471154192218</v>
      </c>
      <c r="AG20" s="97">
        <f>data!OD36</f>
        <v>0.71844827018987634</v>
      </c>
      <c r="AH20" s="97" t="str">
        <f>data!OE36</f>
        <v/>
      </c>
      <c r="AI20" s="97" t="str">
        <f>data!OF36</f>
        <v/>
      </c>
      <c r="AJ20" s="97" t="str">
        <f>data!OG36</f>
        <v/>
      </c>
      <c r="AK20" s="97">
        <f>data!OH36</f>
        <v>1.2888170672041437</v>
      </c>
      <c r="AL20" s="98">
        <f>data!OI36</f>
        <v>9.1986707200000009</v>
      </c>
      <c r="AR20" s="20"/>
    </row>
    <row r="21" spans="1:44" ht="15.75" customHeight="1">
      <c r="A21" s="107">
        <f>data!$NA$37</f>
        <v>5</v>
      </c>
      <c r="B21" s="108">
        <f>data!$NB$37</f>
        <v>1</v>
      </c>
      <c r="C21" s="42">
        <f>data!NC37</f>
        <v>8.0689481599999997</v>
      </c>
      <c r="D21" s="11">
        <f>data!ND37</f>
        <v>0.81048361116252365</v>
      </c>
      <c r="E21" s="4">
        <f>data!NE37</f>
        <v>1.5132729363659477E-2</v>
      </c>
      <c r="F21" s="11">
        <f>data!NF37</f>
        <v>0.52829802094056333</v>
      </c>
      <c r="G21" s="608"/>
      <c r="H21" s="5">
        <f>data!NH37</f>
        <v>16682774823</v>
      </c>
      <c r="I21" s="5">
        <f>data!NI37</f>
        <v>6539750243</v>
      </c>
      <c r="J21" s="51">
        <f>data!NJ37</f>
        <v>7.3210489859046629E-2</v>
      </c>
      <c r="K21" s="113">
        <f>data!NK37</f>
        <v>0.92070151431928315</v>
      </c>
      <c r="L21" s="113">
        <f>data!NL37</f>
        <v>0.61454657254337719</v>
      </c>
      <c r="M21" s="54">
        <f>data!NM37</f>
        <v>1.2209257291290678</v>
      </c>
      <c r="N21" s="55">
        <f>data!NN37</f>
        <v>2.0675278229820724</v>
      </c>
      <c r="P21" s="109">
        <f>data!$NA$37</f>
        <v>5</v>
      </c>
      <c r="Q21" s="110">
        <f>data!$NB$37</f>
        <v>1</v>
      </c>
      <c r="R21" s="96">
        <f>data!NO37</f>
        <v>7.8549811134637923E-2</v>
      </c>
      <c r="S21" s="97" t="str">
        <f>data!NP37</f>
        <v/>
      </c>
      <c r="T21" s="97" t="str">
        <f>data!NQ37</f>
        <v/>
      </c>
      <c r="U21" s="97" t="str">
        <f>data!NR37</f>
        <v/>
      </c>
      <c r="V21" s="97" t="str">
        <f>data!NS37</f>
        <v/>
      </c>
      <c r="W21" s="97" t="str">
        <f>data!NT37</f>
        <v/>
      </c>
      <c r="X21" s="97">
        <f>data!NU37</f>
        <v>2.3055785706874752</v>
      </c>
      <c r="Y21" s="97" t="str">
        <f>data!NV37</f>
        <v/>
      </c>
      <c r="Z21" s="97" t="str">
        <f>data!NW37</f>
        <v/>
      </c>
      <c r="AA21" s="97">
        <f>data!NX37</f>
        <v>1.3438464619512751</v>
      </c>
      <c r="AB21" s="97" t="str">
        <f>data!NY37</f>
        <v/>
      </c>
      <c r="AC21" s="97">
        <f>data!NZ37</f>
        <v>0.4705078584733367</v>
      </c>
      <c r="AD21" s="97">
        <f>data!OA37</f>
        <v>0</v>
      </c>
      <c r="AE21" s="97">
        <f>data!OB37</f>
        <v>0.36455227817129399</v>
      </c>
      <c r="AF21" s="97">
        <f>data!OC37</f>
        <v>1.091656695491183E-3</v>
      </c>
      <c r="AG21" s="97">
        <f>data!OD37</f>
        <v>1.0758843297214056</v>
      </c>
      <c r="AH21" s="97" t="str">
        <f>data!OE37</f>
        <v/>
      </c>
      <c r="AI21" s="97" t="str">
        <f>data!OF37</f>
        <v/>
      </c>
      <c r="AJ21" s="97" t="str">
        <f>data!OG37</f>
        <v/>
      </c>
      <c r="AK21" s="97">
        <f>data!OH37</f>
        <v>2.4289371931650843</v>
      </c>
      <c r="AL21" s="98">
        <f>data!OI37</f>
        <v>8.0689481599999997</v>
      </c>
      <c r="AR21" s="20"/>
    </row>
    <row r="22" spans="1:44" ht="15.75" customHeight="1">
      <c r="A22" s="107">
        <f>data!$NA$38</f>
        <v>5</v>
      </c>
      <c r="B22" s="108">
        <f>data!$NB$38</f>
        <v>2</v>
      </c>
      <c r="C22" s="42">
        <f>data!NC38</f>
        <v>8.0682678400000007</v>
      </c>
      <c r="D22" s="11">
        <f>data!ND38</f>
        <v>0.81018567759892302</v>
      </c>
      <c r="E22" s="4">
        <f>data!NE38</f>
        <v>1.5127166576301134E-2</v>
      </c>
      <c r="F22" s="11">
        <f>data!NF38</f>
        <v>0.55668042671225937</v>
      </c>
      <c r="G22" s="608"/>
      <c r="H22" s="5">
        <f>data!NH38</f>
        <v>16756485000</v>
      </c>
      <c r="I22" s="5">
        <f>data!NI38</f>
        <v>6536795047</v>
      </c>
      <c r="J22" s="51">
        <f>data!NJ38</f>
        <v>7.2847186507194087E-2</v>
      </c>
      <c r="K22" s="113">
        <f>data!NK38</f>
        <v>0.92080030729468887</v>
      </c>
      <c r="L22" s="113">
        <f>data!NL38</f>
        <v>0.6136332212517156</v>
      </c>
      <c r="M22" s="54">
        <f>data!NM38</f>
        <v>1.2263480878608086</v>
      </c>
      <c r="N22" s="55">
        <f>data!NN38</f>
        <v>2.0768379697221357</v>
      </c>
      <c r="P22" s="109">
        <f>data!$NA$38</f>
        <v>5</v>
      </c>
      <c r="Q22" s="110">
        <f>data!$NB$38</f>
        <v>2</v>
      </c>
      <c r="R22" s="96">
        <f>data!NO38</f>
        <v>7.9360432839990266E-2</v>
      </c>
      <c r="S22" s="97" t="str">
        <f>data!NP38</f>
        <v/>
      </c>
      <c r="T22" s="97" t="str">
        <f>data!NQ38</f>
        <v/>
      </c>
      <c r="U22" s="97" t="str">
        <f>data!NR38</f>
        <v/>
      </c>
      <c r="V22" s="97" t="str">
        <f>data!NS38</f>
        <v/>
      </c>
      <c r="W22" s="97" t="str">
        <f>data!NT38</f>
        <v/>
      </c>
      <c r="X22" s="97">
        <f>data!NU38</f>
        <v>1.8405798464458902</v>
      </c>
      <c r="Y22" s="97" t="str">
        <f>data!NV38</f>
        <v/>
      </c>
      <c r="Z22" s="97" t="str">
        <f>data!NW38</f>
        <v/>
      </c>
      <c r="AA22" s="97">
        <f>data!NX38</f>
        <v>1.5454112802129729</v>
      </c>
      <c r="AB22" s="97" t="str">
        <f>data!NY38</f>
        <v/>
      </c>
      <c r="AC22" s="97">
        <f>data!NZ38</f>
        <v>0.52926366772147848</v>
      </c>
      <c r="AD22" s="97">
        <f>data!OA38</f>
        <v>0</v>
      </c>
      <c r="AE22" s="97">
        <f>data!OB38</f>
        <v>0.37335818135587523</v>
      </c>
      <c r="AF22" s="97">
        <f>data!OC38</f>
        <v>9.3670475893089242E-4</v>
      </c>
      <c r="AG22" s="97">
        <f>data!OD38</f>
        <v>1.3202340936721682</v>
      </c>
      <c r="AH22" s="97" t="str">
        <f>data!OE38</f>
        <v/>
      </c>
      <c r="AI22" s="97" t="str">
        <f>data!OF38</f>
        <v/>
      </c>
      <c r="AJ22" s="97" t="str">
        <f>data!OG38</f>
        <v/>
      </c>
      <c r="AK22" s="97">
        <f>data!OH38</f>
        <v>2.3791236329926946</v>
      </c>
      <c r="AL22" s="98">
        <f>data!OI38</f>
        <v>8.0682678400000007</v>
      </c>
      <c r="AR22" s="20"/>
    </row>
    <row r="23" spans="1:44" ht="15.75" customHeight="1">
      <c r="A23" s="107">
        <f>data!$NA$39</f>
        <v>13</v>
      </c>
      <c r="B23" s="108">
        <f>data!$NB$39</f>
        <v>0</v>
      </c>
      <c r="C23" s="42">
        <f>data!NC39</f>
        <v>9.1281868799999994</v>
      </c>
      <c r="D23" s="11">
        <f>data!ND39</f>
        <v>1.326799224119303</v>
      </c>
      <c r="E23" s="4">
        <f>data!NE39</f>
        <v>2.4772979122565614E-2</v>
      </c>
      <c r="F23" s="11">
        <f>data!NF39</f>
        <v>1.4871879222525297</v>
      </c>
      <c r="G23" s="608"/>
      <c r="H23" s="5">
        <f>data!NH39</f>
        <v>8114897037</v>
      </c>
      <c r="I23" s="5">
        <f>data!NI39</f>
        <v>12111271270</v>
      </c>
      <c r="J23" s="51">
        <f>data!NJ39</f>
        <v>0.27048442894494856</v>
      </c>
      <c r="K23" s="113">
        <f>data!NK39</f>
        <v>0.88027675793277815</v>
      </c>
      <c r="L23" s="113">
        <f>data!NL39</f>
        <v>0.66282626710820391</v>
      </c>
      <c r="M23" s="54">
        <f>data!NM39</f>
        <v>0.52138587545294279</v>
      </c>
      <c r="N23" s="55">
        <f>data!NN39</f>
        <v>0.88899330652178765</v>
      </c>
      <c r="P23" s="109">
        <f>data!$NA$39</f>
        <v>13</v>
      </c>
      <c r="Q23" s="110">
        <f>data!$NB$39</f>
        <v>0</v>
      </c>
      <c r="R23" s="96">
        <f>data!NO39</f>
        <v>7.8726664961640144E-2</v>
      </c>
      <c r="S23" s="97" t="str">
        <f>data!NP39</f>
        <v/>
      </c>
      <c r="T23" s="97" t="str">
        <f>data!NQ39</f>
        <v/>
      </c>
      <c r="U23" s="97" t="str">
        <f>data!NR39</f>
        <v/>
      </c>
      <c r="V23" s="97" t="str">
        <f>data!NS39</f>
        <v/>
      </c>
      <c r="W23" s="97" t="str">
        <f>data!NT39</f>
        <v/>
      </c>
      <c r="X23" s="97">
        <f>data!NU39</f>
        <v>4.0976906893866678</v>
      </c>
      <c r="Y23" s="97" t="str">
        <f>data!NV39</f>
        <v/>
      </c>
      <c r="Z23" s="97" t="str">
        <f>data!NW39</f>
        <v/>
      </c>
      <c r="AA23" s="97">
        <f>data!NX39</f>
        <v>2.0842131308555327</v>
      </c>
      <c r="AB23" s="97" t="str">
        <f>data!NY39</f>
        <v/>
      </c>
      <c r="AC23" s="97">
        <f>data!NZ39</f>
        <v>0.33677825735441225</v>
      </c>
      <c r="AD23" s="97">
        <f>data!OA39</f>
        <v>0</v>
      </c>
      <c r="AE23" s="97">
        <f>data!OB39</f>
        <v>0.23150944775004145</v>
      </c>
      <c r="AF23" s="97">
        <f>data!OC39</f>
        <v>0.33641489904640026</v>
      </c>
      <c r="AG23" s="97">
        <f>data!OD39</f>
        <v>0.68973423482035578</v>
      </c>
      <c r="AH23" s="97" t="str">
        <f>data!OE39</f>
        <v/>
      </c>
      <c r="AI23" s="97" t="str">
        <f>data!OF39</f>
        <v/>
      </c>
      <c r="AJ23" s="97" t="str">
        <f>data!OG39</f>
        <v/>
      </c>
      <c r="AK23" s="97">
        <f>data!OH39</f>
        <v>1.2731195558249493</v>
      </c>
      <c r="AL23" s="98">
        <f>data!OI39</f>
        <v>9.1281868799999994</v>
      </c>
      <c r="AR23" s="20"/>
    </row>
    <row r="24" spans="1:44" ht="15.75" customHeight="1">
      <c r="A24" s="107">
        <f>data!$NA$40</f>
        <v>13</v>
      </c>
      <c r="B24" s="108">
        <f>data!$NB$40</f>
        <v>1</v>
      </c>
      <c r="C24" s="42">
        <f>data!NC40</f>
        <v>8.0705401600000002</v>
      </c>
      <c r="D24" s="11">
        <f>data!ND40</f>
        <v>0.81032679564783916</v>
      </c>
      <c r="E24" s="4">
        <f>data!NE40</f>
        <v>1.5129801424450022E-2</v>
      </c>
      <c r="F24" s="11">
        <f>data!NF40</f>
        <v>0.52888664344370229</v>
      </c>
      <c r="G24" s="608"/>
      <c r="H24" s="5">
        <f>data!NH40</f>
        <v>16508284133</v>
      </c>
      <c r="I24" s="5">
        <f>data!NI40</f>
        <v>6539774947</v>
      </c>
      <c r="J24" s="51">
        <f>data!NJ40</f>
        <v>7.3986077847936926E-2</v>
      </c>
      <c r="K24" s="113">
        <f>data!NK40</f>
        <v>0.92070181386931449</v>
      </c>
      <c r="L24" s="113">
        <f>data!NL40</f>
        <v>0.61452691312684604</v>
      </c>
      <c r="M24" s="54">
        <f>data!NM40</f>
        <v>1.2055979154155787</v>
      </c>
      <c r="N24" s="55">
        <f>data!NN40</f>
        <v>2.0454992857628009</v>
      </c>
      <c r="P24" s="109">
        <f>data!$NA$40</f>
        <v>13</v>
      </c>
      <c r="Q24" s="110">
        <f>data!$NB$40</f>
        <v>1</v>
      </c>
      <c r="R24" s="96">
        <f>data!NO40</f>
        <v>7.8616319773947951E-2</v>
      </c>
      <c r="S24" s="97" t="str">
        <f>data!NP40</f>
        <v/>
      </c>
      <c r="T24" s="97" t="str">
        <f>data!NQ40</f>
        <v/>
      </c>
      <c r="U24" s="97" t="str">
        <f>data!NR40</f>
        <v/>
      </c>
      <c r="V24" s="97" t="str">
        <f>data!NS40</f>
        <v/>
      </c>
      <c r="W24" s="97" t="str">
        <f>data!NT40</f>
        <v/>
      </c>
      <c r="X24" s="97">
        <f>data!NU40</f>
        <v>1.84717378650689</v>
      </c>
      <c r="Y24" s="97" t="str">
        <f>data!NV40</f>
        <v/>
      </c>
      <c r="Z24" s="97" t="str">
        <f>data!NW40</f>
        <v/>
      </c>
      <c r="AA24" s="97">
        <f>data!NX40</f>
        <v>1.5467233456802758</v>
      </c>
      <c r="AB24" s="97" t="str">
        <f>data!NY40</f>
        <v/>
      </c>
      <c r="AC24" s="97">
        <f>data!NZ40</f>
        <v>0.52923735323814625</v>
      </c>
      <c r="AD24" s="97">
        <f>data!OA40</f>
        <v>0</v>
      </c>
      <c r="AE24" s="97">
        <f>data!OB40</f>
        <v>0.37388091571283533</v>
      </c>
      <c r="AF24" s="97">
        <f>data!OC40</f>
        <v>6.1800156952349279E-4</v>
      </c>
      <c r="AG24" s="97">
        <f>data!OD40</f>
        <v>1.3147737844184513</v>
      </c>
      <c r="AH24" s="97" t="str">
        <f>data!OE40</f>
        <v/>
      </c>
      <c r="AI24" s="97" t="str">
        <f>data!OF40</f>
        <v/>
      </c>
      <c r="AJ24" s="97" t="str">
        <f>data!OG40</f>
        <v/>
      </c>
      <c r="AK24" s="97">
        <f>data!OH40</f>
        <v>2.3795166530999303</v>
      </c>
      <c r="AL24" s="98">
        <f>data!OI40</f>
        <v>8.0705401600000002</v>
      </c>
      <c r="AR24" s="20"/>
    </row>
    <row r="25" spans="1:44" ht="15.75" customHeight="1" thickBot="1">
      <c r="A25" s="114">
        <f>data!$NA$41</f>
        <v>13</v>
      </c>
      <c r="B25" s="463">
        <f>data!$NB$41</f>
        <v>2</v>
      </c>
      <c r="C25" s="115">
        <f>data!NC41</f>
        <v>8.0698582400000003</v>
      </c>
      <c r="D25" s="116">
        <f>data!ND41</f>
        <v>0.81002906824296339</v>
      </c>
      <c r="E25" s="32">
        <f>data!NE41</f>
        <v>1.5124242486329525E-2</v>
      </c>
      <c r="F25" s="116">
        <f>data!NF41</f>
        <v>0.55719033002492979</v>
      </c>
      <c r="G25" s="608"/>
      <c r="H25" s="33">
        <f>data!NH41</f>
        <v>16736003653</v>
      </c>
      <c r="I25" s="33">
        <f>data!NI41</f>
        <v>6536819751</v>
      </c>
      <c r="J25" s="117">
        <f>data!NJ41</f>
        <v>7.2937922356463292E-2</v>
      </c>
      <c r="K25" s="118">
        <f>data!NK41</f>
        <v>0.92080060660678298</v>
      </c>
      <c r="L25" s="118">
        <f>data!NL41</f>
        <v>0.61364581961819897</v>
      </c>
      <c r="M25" s="119">
        <f>data!NM41</f>
        <v>1.2222935263465111</v>
      </c>
      <c r="N25" s="120">
        <f>data!NN41</f>
        <v>2.0738906626691871</v>
      </c>
      <c r="P25" s="114">
        <f>data!$NA$41</f>
        <v>13</v>
      </c>
      <c r="Q25" s="463">
        <f>data!$NB$41</f>
        <v>2</v>
      </c>
      <c r="R25" s="99">
        <f>data!NO41</f>
        <v>7.9013788520787165E-2</v>
      </c>
      <c r="S25" s="100" t="str">
        <f>data!NP41</f>
        <v/>
      </c>
      <c r="T25" s="100" t="str">
        <f>data!NQ41</f>
        <v/>
      </c>
      <c r="U25" s="100" t="str">
        <f>data!NR41</f>
        <v/>
      </c>
      <c r="V25" s="100" t="str">
        <f>data!NS41</f>
        <v/>
      </c>
      <c r="W25" s="100" t="str">
        <f>data!NT41</f>
        <v/>
      </c>
      <c r="X25" s="100">
        <f>data!NU41</f>
        <v>1.8487002197088622</v>
      </c>
      <c r="Y25" s="100" t="str">
        <f>data!NV41</f>
        <v/>
      </c>
      <c r="Z25" s="100" t="str">
        <f>data!NW41</f>
        <v/>
      </c>
      <c r="AA25" s="100">
        <f>data!NX41</f>
        <v>1.5432330873866127</v>
      </c>
      <c r="AB25" s="100" t="str">
        <f>data!NY41</f>
        <v/>
      </c>
      <c r="AC25" s="100">
        <f>data!NZ41</f>
        <v>0.52913780213197792</v>
      </c>
      <c r="AD25" s="100">
        <f>data!OA41</f>
        <v>0</v>
      </c>
      <c r="AE25" s="100">
        <f>data!OB41</f>
        <v>0.37794248312744677</v>
      </c>
      <c r="AF25" s="100">
        <f>data!OC41</f>
        <v>8.0514276344585526E-4</v>
      </c>
      <c r="AG25" s="100">
        <f>data!OD41</f>
        <v>1.3157157842280183</v>
      </c>
      <c r="AH25" s="100" t="str">
        <f>data!OE41</f>
        <v/>
      </c>
      <c r="AI25" s="100" t="str">
        <f>data!OF41</f>
        <v/>
      </c>
      <c r="AJ25" s="100" t="str">
        <f>data!OG41</f>
        <v/>
      </c>
      <c r="AK25" s="100">
        <f>data!OH41</f>
        <v>2.3753099321328497</v>
      </c>
      <c r="AL25" s="101">
        <f>data!OI41</f>
        <v>8.0698582400000003</v>
      </c>
      <c r="AR25" s="20"/>
    </row>
    <row r="26" spans="1:44" ht="15.75" customHeight="1" thickTop="1" thickBot="1">
      <c r="A26" s="631" t="str">
        <f>data!$NB$42</f>
        <v>CMG 1 total</v>
      </c>
      <c r="B26" s="632"/>
      <c r="C26" s="464">
        <f>data!NC42</f>
        <v>8.4403806133333337</v>
      </c>
      <c r="D26" s="465">
        <f>data!ND42</f>
        <v>11.93699939962897</v>
      </c>
      <c r="E26" s="466">
        <f>data!NE42</f>
        <v>1.8295010655029403E-2</v>
      </c>
      <c r="F26" s="465">
        <f>data!NF42</f>
        <v>10.546173065629809</v>
      </c>
      <c r="G26" s="466">
        <f>data!NG42</f>
        <v>4.119598853761644E-2</v>
      </c>
      <c r="H26" s="467">
        <f>data!NH42</f>
        <v>165821171590</v>
      </c>
      <c r="I26" s="467">
        <f>data!NI42</f>
        <v>100752818314</v>
      </c>
      <c r="J26" s="468">
        <f>data!NJ42</f>
        <v>0.11185303624473084</v>
      </c>
      <c r="K26" s="468">
        <f>data!NK42</f>
        <v>0.9012759051265381</v>
      </c>
      <c r="L26" s="468">
        <f>data!NL42</f>
        <v>0.63944144764661737</v>
      </c>
      <c r="M26" s="469">
        <f>data!NM42</f>
        <v>0.98857315023408543</v>
      </c>
      <c r="N26" s="470">
        <f>data!NN42</f>
        <v>19.64617227427529</v>
      </c>
      <c r="P26" s="631" t="str">
        <f>data!$NB$42</f>
        <v>CMG 1 total</v>
      </c>
      <c r="Q26" s="632"/>
      <c r="R26" s="473">
        <f>data!NO42</f>
        <v>7.9216609211162636E-2</v>
      </c>
      <c r="S26" s="474" t="str">
        <f>data!NP42</f>
        <v/>
      </c>
      <c r="T26" s="474" t="str">
        <f>data!NQ42</f>
        <v/>
      </c>
      <c r="U26" s="474" t="str">
        <f>data!NR42</f>
        <v/>
      </c>
      <c r="V26" s="474" t="str">
        <f>data!NS42</f>
        <v/>
      </c>
      <c r="W26" s="474" t="str">
        <f>data!NT42</f>
        <v/>
      </c>
      <c r="X26" s="474">
        <f>data!NU42</f>
        <v>2.6455049856447972</v>
      </c>
      <c r="Y26" s="474" t="str">
        <f>data!NV42</f>
        <v/>
      </c>
      <c r="Z26" s="474" t="str">
        <f>data!NW42</f>
        <v/>
      </c>
      <c r="AA26" s="474">
        <f>data!NX42</f>
        <v>1.7182201491514653</v>
      </c>
      <c r="AB26" s="474" t="str">
        <f>data!NY42</f>
        <v/>
      </c>
      <c r="AC26" s="474">
        <f>data!NZ42</f>
        <v>0.46141979579975367</v>
      </c>
      <c r="AD26" s="474">
        <f>data!OA42</f>
        <v>0</v>
      </c>
      <c r="AE26" s="474">
        <f>data!OB42</f>
        <v>0.33190065777486738</v>
      </c>
      <c r="AF26" s="474">
        <f>data!OC42</f>
        <v>9.2234172772380885E-2</v>
      </c>
      <c r="AG26" s="474">
        <f>data!OD42</f>
        <v>1.0924345605093821</v>
      </c>
      <c r="AH26" s="474" t="str">
        <f>data!OE42</f>
        <v/>
      </c>
      <c r="AI26" s="474" t="str">
        <f>data!OF42</f>
        <v/>
      </c>
      <c r="AJ26" s="474" t="str">
        <f>data!OG42</f>
        <v/>
      </c>
      <c r="AK26" s="474">
        <f>data!OH42</f>
        <v>2.0194496824695252</v>
      </c>
      <c r="AL26" s="475">
        <f>data!OI42</f>
        <v>8.4403806133333337</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1</v>
      </c>
      <c r="B34" s="106">
        <f>data!$NB$30</f>
        <v>0</v>
      </c>
      <c r="C34" s="44">
        <f>data!OJ30</f>
        <v>0.1157647613270387</v>
      </c>
      <c r="D34" s="44">
        <f>data!OK30</f>
        <v>9.0957381972804952E-2</v>
      </c>
      <c r="E34" s="44" t="str">
        <f>data!OL30</f>
        <v/>
      </c>
      <c r="F34" s="44" t="str">
        <f>data!OM30</f>
        <v/>
      </c>
      <c r="G34" s="46">
        <f>data!ON30</f>
        <v>0.28344520430900105</v>
      </c>
      <c r="H34" s="644">
        <f>data!OO42</f>
        <v>8.3774077785991774E-2</v>
      </c>
      <c r="I34" s="644">
        <f>data!OP42</f>
        <v>4.119598853761644E-2</v>
      </c>
      <c r="J34" s="44" t="str">
        <f>data!OQ30</f>
        <v/>
      </c>
      <c r="K34" s="44" t="str">
        <f>data!OR30</f>
        <v/>
      </c>
      <c r="L34" s="128">
        <f>data!OS30</f>
        <v>0.58321872849736933</v>
      </c>
      <c r="M34" s="128">
        <f>data!OT30</f>
        <v>0.76440057658120553</v>
      </c>
      <c r="N34" s="81" t="str">
        <f>data!OU30</f>
        <v/>
      </c>
      <c r="O34" s="81" t="str">
        <f>data!OV30</f>
        <v/>
      </c>
      <c r="P34" s="559">
        <f>data!OW30</f>
        <v>0.10515498730594626</v>
      </c>
    </row>
    <row r="35" spans="1:21" ht="15.75" customHeight="1" thickBot="1">
      <c r="A35" s="107">
        <f>data!$NA$31</f>
        <v>1</v>
      </c>
      <c r="B35" s="108">
        <f>data!$NB$31</f>
        <v>1</v>
      </c>
      <c r="C35" s="3">
        <f>data!OJ31</f>
        <v>6.195216089457619E-2</v>
      </c>
      <c r="D35" s="3">
        <f>data!OK31</f>
        <v>4.920434303889118E-2</v>
      </c>
      <c r="E35" s="3" t="str">
        <f>data!OL31</f>
        <v/>
      </c>
      <c r="F35" s="3" t="str">
        <f>data!OM31</f>
        <v/>
      </c>
      <c r="G35" s="3">
        <f>data!ON31</f>
        <v>0.29195334777303605</v>
      </c>
      <c r="H35" s="644"/>
      <c r="I35" s="644"/>
      <c r="J35" s="3" t="str">
        <f>data!OQ31</f>
        <v/>
      </c>
      <c r="K35" s="3" t="str">
        <f>data!OR31</f>
        <v/>
      </c>
      <c r="L35" s="4">
        <f>data!OS31</f>
        <v>0.53156551769856164</v>
      </c>
      <c r="M35" s="4">
        <f>data!OT31</f>
        <v>0.71900776909307751</v>
      </c>
      <c r="N35" s="47" t="str">
        <f>data!OU31</f>
        <v/>
      </c>
      <c r="O35" s="47" t="str">
        <f>data!OV31</f>
        <v/>
      </c>
      <c r="P35" s="560">
        <f>data!OW31</f>
        <v>6.4503375605947932E-2</v>
      </c>
    </row>
    <row r="36" spans="1:21" ht="15.75" customHeight="1" thickBot="1">
      <c r="A36" s="107">
        <f>data!$NA$32</f>
        <v>1</v>
      </c>
      <c r="B36" s="108">
        <f>data!$NB$32</f>
        <v>2</v>
      </c>
      <c r="C36" s="3">
        <f>data!OJ32</f>
        <v>6.196340391838194E-2</v>
      </c>
      <c r="D36" s="3">
        <f>data!OK32</f>
        <v>4.912450836411577E-2</v>
      </c>
      <c r="E36" s="3" t="str">
        <f>data!OL32</f>
        <v/>
      </c>
      <c r="F36" s="3" t="str">
        <f>data!OM32</f>
        <v/>
      </c>
      <c r="G36" s="3">
        <f>data!ON32</f>
        <v>0.27333683075199794</v>
      </c>
      <c r="H36" s="644"/>
      <c r="I36" s="644"/>
      <c r="J36" s="3" t="str">
        <f>data!OQ32</f>
        <v/>
      </c>
      <c r="K36" s="3" t="str">
        <f>data!OR32</f>
        <v/>
      </c>
      <c r="L36" s="4">
        <f>data!OS32</f>
        <v>0.53019057129285807</v>
      </c>
      <c r="M36" s="4">
        <f>data!OT32</f>
        <v>0.71888848313541176</v>
      </c>
      <c r="N36" s="47" t="str">
        <f>data!OU32</f>
        <v/>
      </c>
      <c r="O36" s="47" t="str">
        <f>data!OV32</f>
        <v/>
      </c>
      <c r="P36" s="560">
        <f>data!OW32</f>
        <v>2.6740938347319384E-2</v>
      </c>
      <c r="U36" s="10"/>
    </row>
    <row r="37" spans="1:21" ht="15.75" customHeight="1" thickBot="1">
      <c r="A37" s="107">
        <f>data!$NA$33</f>
        <v>9</v>
      </c>
      <c r="B37" s="108">
        <f>data!$NB$33</f>
        <v>0</v>
      </c>
      <c r="C37" s="3">
        <f>data!OJ33</f>
        <v>0.11584673280702232</v>
      </c>
      <c r="D37" s="3">
        <f>data!OK33</f>
        <v>9.1005918369391273E-2</v>
      </c>
      <c r="E37" s="3" t="str">
        <f>data!OL33</f>
        <v/>
      </c>
      <c r="F37" s="3" t="str">
        <f>data!OM33</f>
        <v/>
      </c>
      <c r="G37" s="3">
        <f>data!ON33</f>
        <v>0.28879578030494052</v>
      </c>
      <c r="H37" s="644"/>
      <c r="I37" s="644"/>
      <c r="J37" s="3" t="str">
        <f>data!OQ33</f>
        <v/>
      </c>
      <c r="K37" s="3" t="str">
        <f>data!OR33</f>
        <v/>
      </c>
      <c r="L37" s="4">
        <f>data!OS33</f>
        <v>0.58301463173191315</v>
      </c>
      <c r="M37" s="4">
        <f>data!OT33</f>
        <v>0.76440222753013409</v>
      </c>
      <c r="N37" s="47" t="str">
        <f>data!OU33</f>
        <v/>
      </c>
      <c r="O37" s="47" t="str">
        <f>data!OV33</f>
        <v/>
      </c>
      <c r="P37" s="560">
        <f>data!OW33</f>
        <v>0.10767596853530881</v>
      </c>
    </row>
    <row r="38" spans="1:21" ht="15.75" customHeight="1" thickBot="1">
      <c r="A38" s="107">
        <f>data!$NA$34</f>
        <v>9</v>
      </c>
      <c r="B38" s="108">
        <f>data!$NB$34</f>
        <v>1</v>
      </c>
      <c r="C38" s="3">
        <f>data!OJ34</f>
        <v>6.1900479945441837E-2</v>
      </c>
      <c r="D38" s="3">
        <f>data!OK34</f>
        <v>4.9189581442248373E-2</v>
      </c>
      <c r="E38" s="3" t="str">
        <f>data!OL34</f>
        <v/>
      </c>
      <c r="F38" s="3" t="str">
        <f>data!OM34</f>
        <v/>
      </c>
      <c r="G38" s="3">
        <f>data!ON34</f>
        <v>0.27437203057487453</v>
      </c>
      <c r="H38" s="644"/>
      <c r="I38" s="644"/>
      <c r="J38" s="3" t="str">
        <f>data!OQ34</f>
        <v/>
      </c>
      <c r="K38" s="3" t="str">
        <f>data!OR34</f>
        <v/>
      </c>
      <c r="L38" s="4">
        <f>data!OS34</f>
        <v>0.53142039603902758</v>
      </c>
      <c r="M38" s="4">
        <f>data!OT34</f>
        <v>0.71912933714075833</v>
      </c>
      <c r="N38" s="47" t="str">
        <f>data!OU34</f>
        <v/>
      </c>
      <c r="O38" s="47" t="str">
        <f>data!OV34</f>
        <v/>
      </c>
      <c r="P38" s="560">
        <f>data!OW34</f>
        <v>2.7223716898809085E-2</v>
      </c>
    </row>
    <row r="39" spans="1:21" ht="15.75" customHeight="1" thickBot="1">
      <c r="A39" s="107">
        <f>data!$NA$35</f>
        <v>9</v>
      </c>
      <c r="B39" s="108">
        <f>data!$NB$35</f>
        <v>2</v>
      </c>
      <c r="C39" s="3">
        <f>data!OJ35</f>
        <v>6.1916249513906313E-2</v>
      </c>
      <c r="D39" s="3">
        <f>data!OK35</f>
        <v>4.9094667849923571E-2</v>
      </c>
      <c r="E39" s="3" t="str">
        <f>data!OL35</f>
        <v/>
      </c>
      <c r="F39" s="3" t="str">
        <f>data!OM35</f>
        <v/>
      </c>
      <c r="G39" s="3">
        <f>data!ON35</f>
        <v>0.27457076696459365</v>
      </c>
      <c r="H39" s="644"/>
      <c r="I39" s="644"/>
      <c r="J39" s="3" t="str">
        <f>data!OQ35</f>
        <v/>
      </c>
      <c r="K39" s="3" t="str">
        <f>data!OR35</f>
        <v/>
      </c>
      <c r="L39" s="4">
        <f>data!OS35</f>
        <v>0.53022762712375615</v>
      </c>
      <c r="M39" s="4">
        <f>data!OT35</f>
        <v>0.71881918158077396</v>
      </c>
      <c r="N39" s="47" t="str">
        <f>data!OU35</f>
        <v/>
      </c>
      <c r="O39" s="47" t="str">
        <f>data!OV35</f>
        <v/>
      </c>
      <c r="P39" s="560">
        <f>data!OW35</f>
        <v>2.6663952815754462E-2</v>
      </c>
    </row>
    <row r="40" spans="1:21" ht="15.75" customHeight="1" thickBot="1">
      <c r="A40" s="107">
        <f>data!$NA$36</f>
        <v>5</v>
      </c>
      <c r="B40" s="108">
        <f>data!$NB$36</f>
        <v>0</v>
      </c>
      <c r="C40" s="3">
        <f>data!OJ36</f>
        <v>0.11600656206879205</v>
      </c>
      <c r="D40" s="3">
        <f>data!OK36</f>
        <v>9.1203880169773002E-2</v>
      </c>
      <c r="E40" s="3" t="str">
        <f>data!OL36</f>
        <v/>
      </c>
      <c r="F40" s="3" t="str">
        <f>data!OM36</f>
        <v/>
      </c>
      <c r="G40" s="3">
        <f>data!ON36</f>
        <v>0.29246093378760452</v>
      </c>
      <c r="H40" s="644"/>
      <c r="I40" s="644"/>
      <c r="J40" s="3" t="str">
        <f>data!OQ36</f>
        <v/>
      </c>
      <c r="K40" s="3" t="str">
        <f>data!OR36</f>
        <v/>
      </c>
      <c r="L40" s="4">
        <f>data!OS36</f>
        <v>0.58299465598742506</v>
      </c>
      <c r="M40" s="4">
        <f>data!OT36</f>
        <v>0.76447650043734494</v>
      </c>
      <c r="N40" s="47" t="str">
        <f>data!OU36</f>
        <v/>
      </c>
      <c r="O40" s="47" t="str">
        <f>data!OV36</f>
        <v/>
      </c>
      <c r="P40" s="560">
        <f>data!OW36</f>
        <v>0.10733749624846889</v>
      </c>
    </row>
    <row r="41" spans="1:21" ht="15.75" customHeight="1" thickBot="1">
      <c r="A41" s="107">
        <f>data!$NA$37</f>
        <v>5</v>
      </c>
      <c r="B41" s="108">
        <f>data!$NB$37</f>
        <v>1</v>
      </c>
      <c r="C41" s="3">
        <f>data!OJ37</f>
        <v>6.1934284846300945E-2</v>
      </c>
      <c r="D41" s="3">
        <f>data!OK37</f>
        <v>4.9186560349613884E-2</v>
      </c>
      <c r="E41" s="3" t="str">
        <f>data!OL37</f>
        <v/>
      </c>
      <c r="F41" s="3" t="str">
        <f>data!OM37</f>
        <v/>
      </c>
      <c r="G41" s="3">
        <f>data!ON37</f>
        <v>0.27407547564283369</v>
      </c>
      <c r="H41" s="644"/>
      <c r="I41" s="644"/>
      <c r="J41" s="3" t="str">
        <f>data!OQ37</f>
        <v/>
      </c>
      <c r="K41" s="3" t="str">
        <f>data!OR37</f>
        <v/>
      </c>
      <c r="L41" s="4">
        <f>data!OS37</f>
        <v>0.5315269594139449</v>
      </c>
      <c r="M41" s="4">
        <f>data!OT37</f>
        <v>0.7190824524837669</v>
      </c>
      <c r="N41" s="47" t="str">
        <f>data!OU37</f>
        <v/>
      </c>
      <c r="O41" s="47" t="str">
        <f>data!OV37</f>
        <v/>
      </c>
      <c r="P41" s="560">
        <f>data!OW37</f>
        <v>2.6888728119684523E-2</v>
      </c>
    </row>
    <row r="42" spans="1:21" ht="15.75" customHeight="1" thickBot="1">
      <c r="A42" s="107">
        <f>data!$NA$38</f>
        <v>5</v>
      </c>
      <c r="B42" s="108">
        <f>data!$NB$38</f>
        <v>2</v>
      </c>
      <c r="C42" s="3">
        <f>data!OJ38</f>
        <v>6.1956460597179297E-2</v>
      </c>
      <c r="D42" s="3">
        <f>data!OK38</f>
        <v>4.9087269356120664E-2</v>
      </c>
      <c r="E42" s="3" t="str">
        <f>data!OL38</f>
        <v/>
      </c>
      <c r="F42" s="3" t="str">
        <f>data!OM38</f>
        <v/>
      </c>
      <c r="G42" s="3">
        <f>data!ON38</f>
        <v>0.27376280094003991</v>
      </c>
      <c r="H42" s="644"/>
      <c r="I42" s="644"/>
      <c r="J42" s="3" t="str">
        <f>data!OQ38</f>
        <v/>
      </c>
      <c r="K42" s="3" t="str">
        <f>data!OR38</f>
        <v/>
      </c>
      <c r="L42" s="4">
        <f>data!OS38</f>
        <v>0.53029422577627694</v>
      </c>
      <c r="M42" s="4">
        <f>data!OT38</f>
        <v>0.71882117032916204</v>
      </c>
      <c r="N42" s="47" t="str">
        <f>data!OU38</f>
        <v/>
      </c>
      <c r="O42" s="47" t="str">
        <f>data!OV38</f>
        <v/>
      </c>
      <c r="P42" s="560">
        <f>data!OW38</f>
        <v>2.6723206211572828E-2</v>
      </c>
    </row>
    <row r="43" spans="1:21" ht="15.75" customHeight="1" thickBot="1">
      <c r="A43" s="107">
        <f>data!$NA$39</f>
        <v>13</v>
      </c>
      <c r="B43" s="108">
        <f>data!$NB$39</f>
        <v>0</v>
      </c>
      <c r="C43" s="3">
        <f>data!OJ39</f>
        <v>0.11574909087866256</v>
      </c>
      <c r="D43" s="3">
        <f>data!OK39</f>
        <v>9.0937809868787051E-2</v>
      </c>
      <c r="E43" s="3" t="str">
        <f>data!OL39</f>
        <v/>
      </c>
      <c r="F43" s="3" t="str">
        <f>data!OM39</f>
        <v/>
      </c>
      <c r="G43" s="3">
        <f>data!ON39</f>
        <v>0.28487199455076007</v>
      </c>
      <c r="H43" s="644"/>
      <c r="I43" s="644"/>
      <c r="J43" s="3" t="str">
        <f>data!OQ39</f>
        <v/>
      </c>
      <c r="K43" s="3" t="str">
        <f>data!OR39</f>
        <v/>
      </c>
      <c r="L43" s="4">
        <f>data!OS39</f>
        <v>0.58302063028119511</v>
      </c>
      <c r="M43" s="4">
        <f>data!OT39</f>
        <v>0.76440590623792948</v>
      </c>
      <c r="N43" s="47" t="str">
        <f>data!OU39</f>
        <v/>
      </c>
      <c r="O43" s="47" t="str">
        <f>data!OV39</f>
        <v/>
      </c>
      <c r="P43" s="560">
        <f>data!OW39</f>
        <v>0.10643745072053062</v>
      </c>
    </row>
    <row r="44" spans="1:21" ht="15.75" customHeight="1" thickBot="1">
      <c r="A44" s="107">
        <f>data!$NA$40</f>
        <v>13</v>
      </c>
      <c r="B44" s="108">
        <f>data!$NB$40</f>
        <v>1</v>
      </c>
      <c r="C44" s="3">
        <f>data!OJ40</f>
        <v>6.1936913056940011E-2</v>
      </c>
      <c r="D44" s="3">
        <f>data!OK40</f>
        <v>4.9186092293554126E-2</v>
      </c>
      <c r="E44" s="3" t="str">
        <f>data!OL40</f>
        <v/>
      </c>
      <c r="F44" s="3" t="str">
        <f>data!OM40</f>
        <v/>
      </c>
      <c r="G44" s="3">
        <f>data!ON40</f>
        <v>0.274547841430483</v>
      </c>
      <c r="H44" s="644"/>
      <c r="I44" s="644"/>
      <c r="J44" s="3" t="str">
        <f>data!OQ40</f>
        <v/>
      </c>
      <c r="K44" s="3" t="str">
        <f>data!OR40</f>
        <v/>
      </c>
      <c r="L44" s="4">
        <f>data!OS40</f>
        <v>0.53164114250410988</v>
      </c>
      <c r="M44" s="4">
        <f>data!OT40</f>
        <v>0.71889968456147879</v>
      </c>
      <c r="N44" s="47" t="str">
        <f>data!OU40</f>
        <v/>
      </c>
      <c r="O44" s="47" t="str">
        <f>data!OV40</f>
        <v/>
      </c>
      <c r="P44" s="560">
        <f>data!OW40</f>
        <v>2.7311467432782035E-2</v>
      </c>
    </row>
    <row r="45" spans="1:21" ht="15.75" customHeight="1" thickBot="1">
      <c r="A45" s="114">
        <f>data!$NA$41</f>
        <v>13</v>
      </c>
      <c r="B45" s="463">
        <f>data!$NB$41</f>
        <v>2</v>
      </c>
      <c r="C45" s="31">
        <f>data!OJ41</f>
        <v>6.1948594959344183E-2</v>
      </c>
      <c r="D45" s="31">
        <f>data!OK41</f>
        <v>4.9095970330258233E-2</v>
      </c>
      <c r="E45" s="31" t="str">
        <f>data!OL41</f>
        <v/>
      </c>
      <c r="F45" s="31" t="str">
        <f>data!OM41</f>
        <v/>
      </c>
      <c r="G45" s="31">
        <f>data!ON41</f>
        <v>0.27378129988592192</v>
      </c>
      <c r="H45" s="645"/>
      <c r="I45" s="645"/>
      <c r="J45" s="31" t="str">
        <f>data!OQ41</f>
        <v/>
      </c>
      <c r="K45" s="31" t="str">
        <f>data!OR41</f>
        <v/>
      </c>
      <c r="L45" s="495">
        <f>data!OS41</f>
        <v>0.53037800039523142</v>
      </c>
      <c r="M45" s="495">
        <f>data!OT41</f>
        <v>0.71871196601458442</v>
      </c>
      <c r="N45" s="496" t="str">
        <f>data!OU41</f>
        <v/>
      </c>
      <c r="O45" s="497" t="str">
        <f>data!OV41</f>
        <v/>
      </c>
      <c r="P45" s="561">
        <f>data!OW41</f>
        <v>2.6818101975481637E-2</v>
      </c>
    </row>
    <row r="46" spans="1:21" ht="15.75" customHeight="1" thickTop="1" thickBot="1">
      <c r="A46" s="631" t="str">
        <f>data!$NB$42</f>
        <v>CMG 1 total</v>
      </c>
      <c r="B46" s="632"/>
      <c r="C46" s="471">
        <f>data!OJ42</f>
        <v>8.1753309178677736E-2</v>
      </c>
      <c r="D46" s="471">
        <f>data!OK42</f>
        <v>6.4541185131866879E-2</v>
      </c>
      <c r="E46" s="471" t="str">
        <f>data!OL42</f>
        <v/>
      </c>
      <c r="F46" s="471" t="str">
        <f>data!OM42</f>
        <v/>
      </c>
      <c r="G46" s="472">
        <f>data!ON42</f>
        <v>0.28037630074198616</v>
      </c>
      <c r="H46" s="466">
        <f>data!OO42</f>
        <v>8.3774077785991774E-2</v>
      </c>
      <c r="I46" s="466">
        <f>data!OP42</f>
        <v>4.119598853761644E-2</v>
      </c>
      <c r="J46" s="471" t="str">
        <f>data!OQ42</f>
        <v/>
      </c>
      <c r="K46" s="471" t="str">
        <f>data!OR42</f>
        <v/>
      </c>
      <c r="L46" s="498">
        <f>data!OS42</f>
        <v>0.55807264212558283</v>
      </c>
      <c r="M46" s="498">
        <f>data!OT42</f>
        <v>0.7425100402308642</v>
      </c>
      <c r="N46" s="499" t="str">
        <f>data!OU42</f>
        <v/>
      </c>
      <c r="O46" s="499" t="str">
        <f>data!OV42</f>
        <v/>
      </c>
      <c r="P46" s="487">
        <f>data!OW42</f>
        <v>5.9193442469194245E-2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1</v>
      </c>
      <c r="B55" s="106">
        <f>data!$NB$30</f>
        <v>0</v>
      </c>
      <c r="C55" s="550" t="str">
        <f>data!OX30</f>
        <v/>
      </c>
      <c r="D55" s="5">
        <f>data!OY30</f>
        <v>2573986976</v>
      </c>
      <c r="E55" s="5">
        <f>data!OZ30</f>
        <v>148504649</v>
      </c>
      <c r="F55" s="11">
        <f>data!PA30</f>
        <v>5.7694405754444657E-2</v>
      </c>
      <c r="G55" s="4">
        <f>data!PB30</f>
        <v>0.91033550067513369</v>
      </c>
      <c r="H55" s="452" t="str">
        <f>data!PC30</f>
        <v/>
      </c>
      <c r="I55" s="452" t="str">
        <f>data!PD30</f>
        <v/>
      </c>
      <c r="J55" s="5">
        <f>data!PE30</f>
        <v>31112956</v>
      </c>
      <c r="K55" s="11">
        <f>data!PF30</f>
        <v>1.208745665385993E-2</v>
      </c>
      <c r="L55" s="4">
        <f>data!PG30</f>
        <v>0.55302980533254376</v>
      </c>
      <c r="M55" s="452" t="str">
        <f>data!PH30</f>
        <v/>
      </c>
      <c r="N55" s="452" t="str">
        <f>data!PI30</f>
        <v/>
      </c>
      <c r="O55" s="553" t="str">
        <f>data!PJ30</f>
        <v/>
      </c>
      <c r="P55" s="554" t="str">
        <f>data!PK30</f>
        <v/>
      </c>
    </row>
    <row r="56" spans="1:21" ht="15.75" customHeight="1">
      <c r="A56" s="109">
        <f>data!$NA$31</f>
        <v>1</v>
      </c>
      <c r="B56" s="110">
        <f>data!$NB$31</f>
        <v>1</v>
      </c>
      <c r="C56" s="550" t="str">
        <f>data!OX31</f>
        <v/>
      </c>
      <c r="D56" s="5">
        <f>data!OY31</f>
        <v>4622204953</v>
      </c>
      <c r="E56" s="5">
        <f>data!OZ31</f>
        <v>32639738</v>
      </c>
      <c r="F56" s="11">
        <f>data!PA31</f>
        <v>7.0615081615572834E-3</v>
      </c>
      <c r="G56" s="4">
        <f>data!PB31</f>
        <v>0.76262995738507455</v>
      </c>
      <c r="H56" s="452" t="str">
        <f>data!PC31</f>
        <v/>
      </c>
      <c r="I56" s="452" t="str">
        <f>data!PD31</f>
        <v/>
      </c>
      <c r="J56" s="5">
        <f>data!PE31</f>
        <v>9697082</v>
      </c>
      <c r="K56" s="11">
        <f>data!PF31</f>
        <v>2.0979342323853892E-3</v>
      </c>
      <c r="L56" s="4">
        <f>data!PG31</f>
        <v>0.33268080026548191</v>
      </c>
      <c r="M56" s="452" t="str">
        <f>data!PH31</f>
        <v/>
      </c>
      <c r="N56" s="452" t="str">
        <f>data!PI31</f>
        <v/>
      </c>
      <c r="O56" s="553" t="str">
        <f>data!PJ31</f>
        <v/>
      </c>
      <c r="P56" s="554" t="str">
        <f>data!PK31</f>
        <v/>
      </c>
    </row>
    <row r="57" spans="1:21" ht="15.75" customHeight="1">
      <c r="A57" s="109">
        <f>data!$NA$32</f>
        <v>1</v>
      </c>
      <c r="B57" s="110">
        <f>data!$NB$32</f>
        <v>2</v>
      </c>
      <c r="C57" s="550" t="str">
        <f>data!OX32</f>
        <v/>
      </c>
      <c r="D57" s="5">
        <f>data!OY32</f>
        <v>4626311358</v>
      </c>
      <c r="E57" s="5">
        <f>data!OZ32</f>
        <v>31803320</v>
      </c>
      <c r="F57" s="11">
        <f>data!PA32</f>
        <v>6.8744443551133766E-3</v>
      </c>
      <c r="G57" s="4">
        <f>data!PB32</f>
        <v>0.76085141425486391</v>
      </c>
      <c r="H57" s="452" t="str">
        <f>data!PC32</f>
        <v/>
      </c>
      <c r="I57" s="452" t="str">
        <f>data!PD32</f>
        <v/>
      </c>
      <c r="J57" s="5">
        <f>data!PE32</f>
        <v>10371098</v>
      </c>
      <c r="K57" s="11">
        <f>data!PF32</f>
        <v>2.2417639448468786E-3</v>
      </c>
      <c r="L57" s="4">
        <f>data!PG32</f>
        <v>0.33871457004841726</v>
      </c>
      <c r="M57" s="452" t="str">
        <f>data!PH32</f>
        <v/>
      </c>
      <c r="N57" s="452" t="str">
        <f>data!PI32</f>
        <v/>
      </c>
      <c r="O57" s="553" t="str">
        <f>data!PJ32</f>
        <v/>
      </c>
      <c r="P57" s="554" t="str">
        <f>data!PK32</f>
        <v/>
      </c>
    </row>
    <row r="58" spans="1:21" ht="15.75" customHeight="1">
      <c r="A58" s="109">
        <f>data!$NA$33</f>
        <v>9</v>
      </c>
      <c r="B58" s="110">
        <f>data!$NB$33</f>
        <v>0</v>
      </c>
      <c r="C58" s="550" t="str">
        <f>data!OX33</f>
        <v/>
      </c>
      <c r="D58" s="5">
        <f>data!OY33</f>
        <v>2609303861</v>
      </c>
      <c r="E58" s="5">
        <f>data!OZ33</f>
        <v>147918148</v>
      </c>
      <c r="F58" s="11">
        <f>data!PA33</f>
        <v>5.6688739939744409E-2</v>
      </c>
      <c r="G58" s="4">
        <f>data!PB33</f>
        <v>0.91001958055883714</v>
      </c>
      <c r="H58" s="452" t="str">
        <f>data!PC33</f>
        <v/>
      </c>
      <c r="I58" s="452" t="str">
        <f>data!PD33</f>
        <v/>
      </c>
      <c r="J58" s="5">
        <f>data!PE33</f>
        <v>31283744</v>
      </c>
      <c r="K58" s="11">
        <f>data!PF33</f>
        <v>1.1989306599197953E-2</v>
      </c>
      <c r="L58" s="4">
        <f>data!PG33</f>
        <v>0.553440566448824</v>
      </c>
      <c r="M58" s="452" t="str">
        <f>data!PH33</f>
        <v/>
      </c>
      <c r="N58" s="452" t="str">
        <f>data!PI33</f>
        <v/>
      </c>
      <c r="O58" s="553" t="str">
        <f>data!PJ33</f>
        <v/>
      </c>
      <c r="P58" s="554" t="str">
        <f>data!PK33</f>
        <v/>
      </c>
    </row>
    <row r="59" spans="1:21" ht="15.75" customHeight="1">
      <c r="A59" s="109">
        <f>data!$NA$34</f>
        <v>9</v>
      </c>
      <c r="B59" s="110">
        <f>data!$NB$34</f>
        <v>1</v>
      </c>
      <c r="C59" s="550" t="str">
        <f>data!OX34</f>
        <v/>
      </c>
      <c r="D59" s="5">
        <f>data!OY34</f>
        <v>4635775807</v>
      </c>
      <c r="E59" s="5">
        <f>data!OZ34</f>
        <v>32252719</v>
      </c>
      <c r="F59" s="11">
        <f>data!PA34</f>
        <v>6.9573509036607297E-3</v>
      </c>
      <c r="G59" s="4">
        <f>data!PB34</f>
        <v>0.75766734581354211</v>
      </c>
      <c r="H59" s="452" t="str">
        <f>data!PC34</f>
        <v/>
      </c>
      <c r="I59" s="452" t="str">
        <f>data!PD34</f>
        <v/>
      </c>
      <c r="J59" s="5">
        <f>data!PE34</f>
        <v>9724267</v>
      </c>
      <c r="K59" s="11">
        <f>data!PF34</f>
        <v>2.0976568766152156E-3</v>
      </c>
      <c r="L59" s="4">
        <f>data!PG34</f>
        <v>0.33168381740238106</v>
      </c>
      <c r="M59" s="452" t="str">
        <f>data!PH34</f>
        <v/>
      </c>
      <c r="N59" s="452" t="str">
        <f>data!PI34</f>
        <v/>
      </c>
      <c r="O59" s="553" t="str">
        <f>data!PJ34</f>
        <v/>
      </c>
      <c r="P59" s="554" t="str">
        <f>data!PK34</f>
        <v/>
      </c>
      <c r="U59" s="9"/>
    </row>
    <row r="60" spans="1:21" ht="15.75" customHeight="1">
      <c r="A60" s="109">
        <f>data!$NA$35</f>
        <v>9</v>
      </c>
      <c r="B60" s="110">
        <f>data!$NB$35</f>
        <v>2</v>
      </c>
      <c r="C60" s="550" t="str">
        <f>data!OX35</f>
        <v/>
      </c>
      <c r="D60" s="5">
        <f>data!OY35</f>
        <v>4636784488</v>
      </c>
      <c r="E60" s="5">
        <f>data!OZ35</f>
        <v>31532103</v>
      </c>
      <c r="F60" s="11">
        <f>data!PA35</f>
        <v>6.8004245359268032E-3</v>
      </c>
      <c r="G60" s="4">
        <f>data!PB35</f>
        <v>0.76014470078319862</v>
      </c>
      <c r="H60" s="452" t="str">
        <f>data!PC35</f>
        <v/>
      </c>
      <c r="I60" s="452" t="str">
        <f>data!PD35</f>
        <v/>
      </c>
      <c r="J60" s="5">
        <f>data!PE35</f>
        <v>10361963</v>
      </c>
      <c r="K60" s="11">
        <f>data!PF35</f>
        <v>2.2347303453107998E-3</v>
      </c>
      <c r="L60" s="4">
        <f>data!PG35</f>
        <v>0.34238908206871616</v>
      </c>
      <c r="M60" s="452" t="str">
        <f>data!PH35</f>
        <v/>
      </c>
      <c r="N60" s="452" t="str">
        <f>data!PI35</f>
        <v/>
      </c>
      <c r="O60" s="553" t="str">
        <f>data!PJ35</f>
        <v/>
      </c>
      <c r="P60" s="554" t="str">
        <f>data!PK35</f>
        <v/>
      </c>
    </row>
    <row r="61" spans="1:21" ht="15.75" customHeight="1">
      <c r="A61" s="109">
        <f>data!$NA$36</f>
        <v>5</v>
      </c>
      <c r="B61" s="110">
        <f>data!$NB$36</f>
        <v>0</v>
      </c>
      <c r="C61" s="550" t="str">
        <f>data!OX36</f>
        <v/>
      </c>
      <c r="D61" s="5">
        <f>data!OY36</f>
        <v>2592768719</v>
      </c>
      <c r="E61" s="5">
        <f>data!OZ36</f>
        <v>131969040</v>
      </c>
      <c r="F61" s="11">
        <f>data!PA36</f>
        <v>5.0898886211068951E-2</v>
      </c>
      <c r="G61" s="4">
        <f>data!PB36</f>
        <v>0.8995795150135214</v>
      </c>
      <c r="H61" s="452" t="str">
        <f>data!PC36</f>
        <v/>
      </c>
      <c r="I61" s="452" t="str">
        <f>data!PD36</f>
        <v/>
      </c>
      <c r="J61" s="5">
        <f>data!PE36</f>
        <v>30975375</v>
      </c>
      <c r="K61" s="11">
        <f>data!PF36</f>
        <v>1.1946833041069253E-2</v>
      </c>
      <c r="L61" s="4">
        <f>data!PG36</f>
        <v>0.54842157681706838</v>
      </c>
      <c r="M61" s="452" t="str">
        <f>data!PH36</f>
        <v/>
      </c>
      <c r="N61" s="452" t="str">
        <f>data!PI36</f>
        <v/>
      </c>
      <c r="O61" s="553" t="str">
        <f>data!PJ36</f>
        <v/>
      </c>
      <c r="P61" s="554" t="str">
        <f>data!PK36</f>
        <v/>
      </c>
    </row>
    <row r="62" spans="1:21" ht="15.75" customHeight="1">
      <c r="A62" s="109">
        <f>data!$NA$37</f>
        <v>5</v>
      </c>
      <c r="B62" s="110">
        <f>data!$NB$37</f>
        <v>1</v>
      </c>
      <c r="C62" s="550" t="str">
        <f>data!OX37</f>
        <v/>
      </c>
      <c r="D62" s="5">
        <f>data!OY37</f>
        <v>4597948105</v>
      </c>
      <c r="E62" s="5">
        <f>data!OZ37</f>
        <v>34193575</v>
      </c>
      <c r="F62" s="11">
        <f>data!PA37</f>
        <v>7.4367031160739909E-3</v>
      </c>
      <c r="G62" s="4">
        <f>data!PB37</f>
        <v>0.77139018075764232</v>
      </c>
      <c r="H62" s="452" t="str">
        <f>data!PC37</f>
        <v/>
      </c>
      <c r="I62" s="452" t="str">
        <f>data!PD37</f>
        <v/>
      </c>
      <c r="J62" s="5">
        <f>data!PE37</f>
        <v>9673542</v>
      </c>
      <c r="K62" s="11">
        <f>data!PF37</f>
        <v>2.1038823795076302E-3</v>
      </c>
      <c r="L62" s="4">
        <f>data!PG37</f>
        <v>0.33142513879611007</v>
      </c>
      <c r="M62" s="452" t="str">
        <f>data!PH37</f>
        <v/>
      </c>
      <c r="N62" s="452" t="str">
        <f>data!PI37</f>
        <v/>
      </c>
      <c r="O62" s="553" t="str">
        <f>data!PJ37</f>
        <v/>
      </c>
      <c r="P62" s="554" t="str">
        <f>data!PK37</f>
        <v/>
      </c>
    </row>
    <row r="63" spans="1:21" ht="15.75" customHeight="1">
      <c r="A63" s="109">
        <f>data!$NA$38</f>
        <v>5</v>
      </c>
      <c r="B63" s="110">
        <f>data!$NB$38</f>
        <v>2</v>
      </c>
      <c r="C63" s="550" t="str">
        <f>data!OX38</f>
        <v/>
      </c>
      <c r="D63" s="5">
        <f>data!OY38</f>
        <v>4422913100</v>
      </c>
      <c r="E63" s="5">
        <f>data!OZ38</f>
        <v>31678631</v>
      </c>
      <c r="F63" s="11">
        <f>data!PA38</f>
        <v>7.1623905520549341E-3</v>
      </c>
      <c r="G63" s="4">
        <f>data!PB38</f>
        <v>0.75891688627579901</v>
      </c>
      <c r="H63" s="452" t="str">
        <f>data!PC38</f>
        <v/>
      </c>
      <c r="I63" s="452" t="str">
        <f>data!PD38</f>
        <v/>
      </c>
      <c r="J63" s="5">
        <f>data!PE38</f>
        <v>10300911</v>
      </c>
      <c r="K63" s="11">
        <f>data!PF38</f>
        <v>2.3289878790519309E-3</v>
      </c>
      <c r="L63" s="4">
        <f>data!PG38</f>
        <v>0.3409545039268857</v>
      </c>
      <c r="M63" s="452" t="str">
        <f>data!PH38</f>
        <v/>
      </c>
      <c r="N63" s="452" t="str">
        <f>data!PI38</f>
        <v/>
      </c>
      <c r="O63" s="553" t="str">
        <f>data!PJ38</f>
        <v/>
      </c>
      <c r="P63" s="554" t="str">
        <f>data!PK38</f>
        <v/>
      </c>
    </row>
    <row r="64" spans="1:21" ht="15.75" customHeight="1">
      <c r="A64" s="109">
        <f>data!$NA$39</f>
        <v>13</v>
      </c>
      <c r="B64" s="110">
        <f>data!$NB$39</f>
        <v>0</v>
      </c>
      <c r="C64" s="550" t="str">
        <f>data!OX39</f>
        <v/>
      </c>
      <c r="D64" s="5">
        <f>data!OY39</f>
        <v>2593339908</v>
      </c>
      <c r="E64" s="5">
        <f>data!OZ39</f>
        <v>134186565</v>
      </c>
      <c r="F64" s="11">
        <f>data!PA39</f>
        <v>5.1742760208971422E-2</v>
      </c>
      <c r="G64" s="4">
        <f>data!PB39</f>
        <v>0.90141641229134972</v>
      </c>
      <c r="H64" s="452" t="str">
        <f>data!PC39</f>
        <v/>
      </c>
      <c r="I64" s="452" t="str">
        <f>data!PD39</f>
        <v/>
      </c>
      <c r="J64" s="5">
        <f>data!PE39</f>
        <v>31531408</v>
      </c>
      <c r="K64" s="11">
        <f>data!PF39</f>
        <v>1.2158609792233993E-2</v>
      </c>
      <c r="L64" s="4">
        <f>data!PG39</f>
        <v>0.53971769988831453</v>
      </c>
      <c r="M64" s="452" t="str">
        <f>data!PH39</f>
        <v/>
      </c>
      <c r="N64" s="452" t="str">
        <f>data!PI39</f>
        <v/>
      </c>
      <c r="O64" s="553" t="str">
        <f>data!PJ39</f>
        <v/>
      </c>
      <c r="P64" s="554" t="str">
        <f>data!PK39</f>
        <v/>
      </c>
    </row>
    <row r="65" spans="1:37" ht="15.75" customHeight="1">
      <c r="A65" s="109">
        <f>data!$NA$40</f>
        <v>13</v>
      </c>
      <c r="B65" s="110">
        <f>data!$NB$40</f>
        <v>1</v>
      </c>
      <c r="C65" s="550" t="str">
        <f>data!OX40</f>
        <v/>
      </c>
      <c r="D65" s="5">
        <f>data!OY40</f>
        <v>4600789919</v>
      </c>
      <c r="E65" s="5">
        <f>data!OZ40</f>
        <v>32644971</v>
      </c>
      <c r="F65" s="11">
        <f>data!PA40</f>
        <v>7.095514373561207E-3</v>
      </c>
      <c r="G65" s="4">
        <f>data!PB40</f>
        <v>0.76126696513224046</v>
      </c>
      <c r="H65" s="452" t="str">
        <f>data!PC40</f>
        <v/>
      </c>
      <c r="I65" s="452" t="str">
        <f>data!PD40</f>
        <v/>
      </c>
      <c r="J65" s="5">
        <f>data!PE40</f>
        <v>9688246</v>
      </c>
      <c r="K65" s="11">
        <f>data!PF40</f>
        <v>2.1057788272379491E-3</v>
      </c>
      <c r="L65" s="4">
        <f>data!PG40</f>
        <v>0.33275847867611952</v>
      </c>
      <c r="M65" s="452" t="str">
        <f>data!PH40</f>
        <v/>
      </c>
      <c r="N65" s="452" t="str">
        <f>data!PI40</f>
        <v/>
      </c>
      <c r="O65" s="553" t="str">
        <f>data!PJ40</f>
        <v/>
      </c>
      <c r="P65" s="554" t="str">
        <f>data!PK40</f>
        <v/>
      </c>
    </row>
    <row r="66" spans="1:37" ht="15.75" customHeight="1" thickBot="1">
      <c r="A66" s="114">
        <f>data!$NA$41</f>
        <v>13</v>
      </c>
      <c r="B66" s="463">
        <f>data!$NB$41</f>
        <v>2</v>
      </c>
      <c r="C66" s="551" t="str">
        <f>data!OX41</f>
        <v/>
      </c>
      <c r="D66" s="33">
        <f>data!OY41</f>
        <v>4613189385</v>
      </c>
      <c r="E66" s="33">
        <f>data!OZ41</f>
        <v>30949497</v>
      </c>
      <c r="F66" s="116">
        <f>data!PA41</f>
        <v>6.7089153332039065E-3</v>
      </c>
      <c r="G66" s="32">
        <f>data!PB41</f>
        <v>0.75600488757539419</v>
      </c>
      <c r="H66" s="453" t="str">
        <f>data!PC41</f>
        <v/>
      </c>
      <c r="I66" s="453" t="str">
        <f>data!PD41</f>
        <v/>
      </c>
      <c r="J66" s="33">
        <f>data!PE41</f>
        <v>10331571</v>
      </c>
      <c r="K66" s="116">
        <f>data!PF41</f>
        <v>2.2395722650350286E-3</v>
      </c>
      <c r="L66" s="32">
        <f>data!PG41</f>
        <v>0.34404999975318373</v>
      </c>
      <c r="M66" s="453" t="str">
        <f>data!PH41</f>
        <v/>
      </c>
      <c r="N66" s="453" t="str">
        <f>data!PI41</f>
        <v/>
      </c>
      <c r="O66" s="555" t="str">
        <f>data!PJ41</f>
        <v/>
      </c>
      <c r="P66" s="556" t="str">
        <f>data!PK41</f>
        <v/>
      </c>
    </row>
    <row r="67" spans="1:37" ht="15.75" customHeight="1" thickTop="1" thickBot="1">
      <c r="A67" s="631" t="str">
        <f>data!$NB$42</f>
        <v>CMG 1 total</v>
      </c>
      <c r="B67" s="632"/>
      <c r="C67" s="552" t="str">
        <f>data!OX42</f>
        <v/>
      </c>
      <c r="D67" s="467">
        <f>data!OY42</f>
        <v>47125316579</v>
      </c>
      <c r="E67" s="467">
        <f>data!OZ42</f>
        <v>820272956</v>
      </c>
      <c r="F67" s="465">
        <f>data!PA42</f>
        <v>1.7406205741343078E-2</v>
      </c>
      <c r="G67" s="466">
        <f>data!PB42</f>
        <v>0.86024421241555593</v>
      </c>
      <c r="H67" s="476" t="str">
        <f>data!PC42</f>
        <v/>
      </c>
      <c r="I67" s="476" t="str">
        <f>data!PD42</f>
        <v/>
      </c>
      <c r="J67" s="467">
        <f>data!PE42</f>
        <v>205052163</v>
      </c>
      <c r="K67" s="465">
        <f>data!PF42</f>
        <v>4.3512103023489379E-3</v>
      </c>
      <c r="L67" s="466">
        <f>data!PG42</f>
        <v>0.4659029517284341</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1</v>
      </c>
      <c r="B77" s="106">
        <f>data!$NB$30</f>
        <v>0</v>
      </c>
      <c r="C77" s="442">
        <f>data!PL30</f>
        <v>849059213</v>
      </c>
      <c r="D77" s="443" t="str">
        <f>data!PM30</f>
        <v/>
      </c>
      <c r="E77" s="443">
        <f>data!PN30</f>
        <v>32848318</v>
      </c>
      <c r="F77" s="443" t="str">
        <f>data!PO30</f>
        <v/>
      </c>
      <c r="G77" s="443" t="str">
        <f>data!PP30</f>
        <v/>
      </c>
      <c r="H77" s="443" t="str">
        <f>data!PQ30</f>
        <v/>
      </c>
      <c r="I77" s="443" t="str">
        <f>data!PR30</f>
        <v/>
      </c>
      <c r="J77" s="443">
        <f>data!PS30</f>
        <v>1116330921</v>
      </c>
      <c r="K77" s="443">
        <f>data!PT30</f>
        <v>303395435</v>
      </c>
      <c r="L77" s="443" t="str">
        <f>data!PU30</f>
        <v/>
      </c>
      <c r="M77" s="443">
        <f>data!PV30</f>
        <v>607329</v>
      </c>
      <c r="N77" s="443" t="str">
        <f>data!PW30</f>
        <v/>
      </c>
      <c r="O77" s="443" t="str">
        <f>data!PX30</f>
        <v/>
      </c>
      <c r="P77" s="443">
        <f>data!PY30</f>
        <v>271745760</v>
      </c>
      <c r="Q77" s="443" t="str">
        <f>data!PZ30</f>
        <v/>
      </c>
      <c r="R77" s="443" t="str">
        <f>data!QA30</f>
        <v/>
      </c>
      <c r="S77" s="443" t="str">
        <f>data!QB30</f>
        <v/>
      </c>
      <c r="T77" s="443" t="str">
        <f>data!QC30</f>
        <v/>
      </c>
      <c r="U77" s="443">
        <f>data!QD30</f>
        <v>972585364</v>
      </c>
      <c r="V77" s="443">
        <f>data!QE30</f>
        <v>1008869598</v>
      </c>
      <c r="W77" s="443">
        <f>data!QF30</f>
        <v>84950461</v>
      </c>
      <c r="X77" s="443" t="str">
        <f>data!QG30</f>
        <v/>
      </c>
      <c r="Y77" s="443" t="str">
        <f>data!QH30</f>
        <v/>
      </c>
      <c r="Z77" s="443" t="str">
        <f>data!QI30</f>
        <v/>
      </c>
      <c r="AA77" s="443" t="str">
        <f>data!QJ30</f>
        <v/>
      </c>
      <c r="AB77" s="443" t="str">
        <f>data!QK30</f>
        <v/>
      </c>
      <c r="AC77" s="443" t="str">
        <f>data!QL30</f>
        <v/>
      </c>
      <c r="AD77" s="443">
        <f>data!QM30</f>
        <v>3585512357</v>
      </c>
      <c r="AE77" s="444">
        <f>data!QN30</f>
        <v>8225904756</v>
      </c>
      <c r="AG77" s="105">
        <f>data!$NA$30</f>
        <v>1</v>
      </c>
      <c r="AH77" s="106">
        <f>data!$NB$30</f>
        <v>0</v>
      </c>
      <c r="AI77" s="36" t="str">
        <f>data!RR30</f>
        <v/>
      </c>
      <c r="AJ77" s="717" t="str">
        <f>data!RS42</f>
        <v/>
      </c>
      <c r="AK77" s="729" t="str">
        <f>data!RT42</f>
        <v/>
      </c>
    </row>
    <row r="78" spans="1:37" ht="15.75" customHeight="1">
      <c r="A78" s="109">
        <f>data!$NA$31</f>
        <v>1</v>
      </c>
      <c r="B78" s="110">
        <f>data!$NB$31</f>
        <v>1</v>
      </c>
      <c r="C78" s="445">
        <f>data!PL31</f>
        <v>423262314</v>
      </c>
      <c r="D78" s="446" t="str">
        <f>data!PM31</f>
        <v/>
      </c>
      <c r="E78" s="446">
        <f>data!PN31</f>
        <v>16238752</v>
      </c>
      <c r="F78" s="446" t="str">
        <f>data!PO31</f>
        <v/>
      </c>
      <c r="G78" s="446" t="str">
        <f>data!PP31</f>
        <v/>
      </c>
      <c r="H78" s="446" t="str">
        <f>data!PQ31</f>
        <v/>
      </c>
      <c r="I78" s="446" t="str">
        <f>data!PR31</f>
        <v/>
      </c>
      <c r="J78" s="446">
        <f>data!PS31</f>
        <v>3625993054</v>
      </c>
      <c r="K78" s="446">
        <f>data!PT31</f>
        <v>144381996</v>
      </c>
      <c r="L78" s="446" t="str">
        <f>data!PU31</f>
        <v/>
      </c>
      <c r="M78" s="446">
        <f>data!PV31</f>
        <v>97350</v>
      </c>
      <c r="N78" s="446" t="str">
        <f>data!PW31</f>
        <v/>
      </c>
      <c r="O78" s="446" t="str">
        <f>data!PX31</f>
        <v/>
      </c>
      <c r="P78" s="446">
        <f>data!PY31</f>
        <v>412231487</v>
      </c>
      <c r="Q78" s="446" t="str">
        <f>data!PZ31</f>
        <v/>
      </c>
      <c r="R78" s="446" t="str">
        <f>data!QA31</f>
        <v/>
      </c>
      <c r="S78" s="446" t="str">
        <f>data!QB31</f>
        <v/>
      </c>
      <c r="T78" s="446" t="str">
        <f>data!QC31</f>
        <v/>
      </c>
      <c r="U78" s="446">
        <f>data!QD31</f>
        <v>423677835</v>
      </c>
      <c r="V78" s="446">
        <f>data!QE31</f>
        <v>481114146</v>
      </c>
      <c r="W78" s="446">
        <f>data!QF31</f>
        <v>34969510</v>
      </c>
      <c r="X78" s="446" t="str">
        <f>data!QG31</f>
        <v/>
      </c>
      <c r="Y78" s="446" t="str">
        <f>data!QH31</f>
        <v/>
      </c>
      <c r="Z78" s="446" t="str">
        <f>data!QI31</f>
        <v/>
      </c>
      <c r="AA78" s="446" t="str">
        <f>data!QJ31</f>
        <v/>
      </c>
      <c r="AB78" s="446" t="str">
        <f>data!QK31</f>
        <v/>
      </c>
      <c r="AC78" s="446" t="str">
        <f>data!QL31</f>
        <v/>
      </c>
      <c r="AD78" s="446">
        <f>data!QM31</f>
        <v>11146852364</v>
      </c>
      <c r="AE78" s="447">
        <f>data!QN31</f>
        <v>16708818808</v>
      </c>
      <c r="AG78" s="109">
        <f>data!$NA$31</f>
        <v>1</v>
      </c>
      <c r="AH78" s="110">
        <f>data!$NB$31</f>
        <v>1</v>
      </c>
      <c r="AI78" s="37" t="str">
        <f>data!RR31</f>
        <v/>
      </c>
      <c r="AJ78" s="718"/>
      <c r="AK78" s="730"/>
    </row>
    <row r="79" spans="1:37" ht="15.75" customHeight="1">
      <c r="A79" s="109">
        <f>data!$NA$32</f>
        <v>1</v>
      </c>
      <c r="B79" s="110">
        <f>data!$NB$32</f>
        <v>2</v>
      </c>
      <c r="C79" s="445">
        <f>data!PL32</f>
        <v>422749107</v>
      </c>
      <c r="D79" s="446" t="str">
        <f>data!PM32</f>
        <v/>
      </c>
      <c r="E79" s="446">
        <f>data!PN32</f>
        <v>16235480</v>
      </c>
      <c r="F79" s="446" t="str">
        <f>data!PO32</f>
        <v/>
      </c>
      <c r="G79" s="446" t="str">
        <f>data!PP32</f>
        <v/>
      </c>
      <c r="H79" s="446" t="str">
        <f>data!PQ32</f>
        <v/>
      </c>
      <c r="I79" s="446" t="str">
        <f>data!PR32</f>
        <v/>
      </c>
      <c r="J79" s="446">
        <f>data!PS32</f>
        <v>3630461346</v>
      </c>
      <c r="K79" s="446">
        <f>data!PT32</f>
        <v>144248639</v>
      </c>
      <c r="L79" s="446" t="str">
        <f>data!PU32</f>
        <v/>
      </c>
      <c r="M79" s="446">
        <f>data!PV32</f>
        <v>95832</v>
      </c>
      <c r="N79" s="446" t="str">
        <f>data!PW32</f>
        <v/>
      </c>
      <c r="O79" s="446" t="str">
        <f>data!PX32</f>
        <v/>
      </c>
      <c r="P79" s="446">
        <f>data!PY32</f>
        <v>412520954</v>
      </c>
      <c r="Q79" s="446" t="str">
        <f>data!PZ32</f>
        <v/>
      </c>
      <c r="R79" s="446" t="str">
        <f>data!QA32</f>
        <v/>
      </c>
      <c r="S79" s="446" t="str">
        <f>data!QB32</f>
        <v/>
      </c>
      <c r="T79" s="446" t="str">
        <f>data!QC32</f>
        <v/>
      </c>
      <c r="U79" s="446">
        <f>data!QD32</f>
        <v>422962630</v>
      </c>
      <c r="V79" s="446">
        <f>data!QE32</f>
        <v>480894977</v>
      </c>
      <c r="W79" s="446">
        <f>data!QF32</f>
        <v>34958988</v>
      </c>
      <c r="X79" s="446" t="str">
        <f>data!QG32</f>
        <v/>
      </c>
      <c r="Y79" s="446" t="str">
        <f>data!QH32</f>
        <v/>
      </c>
      <c r="Z79" s="446" t="str">
        <f>data!QI32</f>
        <v/>
      </c>
      <c r="AA79" s="446" t="str">
        <f>data!QJ32</f>
        <v/>
      </c>
      <c r="AB79" s="446" t="str">
        <f>data!QK32</f>
        <v/>
      </c>
      <c r="AC79" s="446" t="str">
        <f>data!QL32</f>
        <v/>
      </c>
      <c r="AD79" s="446">
        <f>data!QM32</f>
        <v>11118735323</v>
      </c>
      <c r="AE79" s="447">
        <f>data!QN32</f>
        <v>16683863276</v>
      </c>
      <c r="AG79" s="109">
        <f>data!$NA$32</f>
        <v>1</v>
      </c>
      <c r="AH79" s="110">
        <f>data!$NB$32</f>
        <v>2</v>
      </c>
      <c r="AI79" s="37" t="str">
        <f>data!RR32</f>
        <v/>
      </c>
      <c r="AJ79" s="718"/>
      <c r="AK79" s="730"/>
    </row>
    <row r="80" spans="1:37" ht="15.75" customHeight="1">
      <c r="A80" s="109">
        <f>data!$NA$33</f>
        <v>9</v>
      </c>
      <c r="B80" s="110">
        <f>data!$NB$33</f>
        <v>0</v>
      </c>
      <c r="C80" s="445">
        <f>data!PL33</f>
        <v>849042206</v>
      </c>
      <c r="D80" s="446" t="str">
        <f>data!PM33</f>
        <v/>
      </c>
      <c r="E80" s="446">
        <f>data!PN33</f>
        <v>32848318</v>
      </c>
      <c r="F80" s="446" t="str">
        <f>data!PO33</f>
        <v/>
      </c>
      <c r="G80" s="446" t="str">
        <f>data!PP33</f>
        <v/>
      </c>
      <c r="H80" s="446" t="str">
        <f>data!PQ33</f>
        <v/>
      </c>
      <c r="I80" s="446" t="str">
        <f>data!PR33</f>
        <v/>
      </c>
      <c r="J80" s="446">
        <f>data!PS33</f>
        <v>1146237823</v>
      </c>
      <c r="K80" s="446">
        <f>data!PT33</f>
        <v>303378479</v>
      </c>
      <c r="L80" s="446" t="str">
        <f>data!PU33</f>
        <v/>
      </c>
      <c r="M80" s="446">
        <f>data!PV33</f>
        <v>607329</v>
      </c>
      <c r="N80" s="446" t="str">
        <f>data!PW33</f>
        <v/>
      </c>
      <c r="O80" s="446" t="str">
        <f>data!PX33</f>
        <v/>
      </c>
      <c r="P80" s="446">
        <f>data!PY33</f>
        <v>277189706</v>
      </c>
      <c r="Q80" s="446" t="str">
        <f>data!PZ33</f>
        <v/>
      </c>
      <c r="R80" s="446" t="str">
        <f>data!QA33</f>
        <v/>
      </c>
      <c r="S80" s="446" t="str">
        <f>data!QB33</f>
        <v/>
      </c>
      <c r="T80" s="446" t="str">
        <f>data!QC33</f>
        <v/>
      </c>
      <c r="U80" s="446">
        <f>data!QD33</f>
        <v>972765740</v>
      </c>
      <c r="V80" s="446">
        <f>data!QE33</f>
        <v>1008869598</v>
      </c>
      <c r="W80" s="446">
        <f>data!QF33</f>
        <v>84950461</v>
      </c>
      <c r="X80" s="446" t="str">
        <f>data!QG33</f>
        <v/>
      </c>
      <c r="Y80" s="446" t="str">
        <f>data!QH33</f>
        <v/>
      </c>
      <c r="Z80" s="446" t="str">
        <f>data!QI33</f>
        <v/>
      </c>
      <c r="AA80" s="446" t="str">
        <f>data!QJ33</f>
        <v/>
      </c>
      <c r="AB80" s="446" t="str">
        <f>data!QK33</f>
        <v/>
      </c>
      <c r="AC80" s="446" t="str">
        <f>data!QL33</f>
        <v/>
      </c>
      <c r="AD80" s="446">
        <f>data!QM33</f>
        <v>3421368062</v>
      </c>
      <c r="AE80" s="447">
        <f>data!QN33</f>
        <v>8097257722</v>
      </c>
      <c r="AG80" s="109">
        <f>data!$NA$33</f>
        <v>9</v>
      </c>
      <c r="AH80" s="110">
        <f>data!$NB$33</f>
        <v>0</v>
      </c>
      <c r="AI80" s="37" t="str">
        <f>data!RR33</f>
        <v/>
      </c>
      <c r="AJ80" s="718"/>
      <c r="AK80" s="730"/>
    </row>
    <row r="81" spans="1:55" ht="15.75" customHeight="1">
      <c r="A81" s="109">
        <f>data!$NA$34</f>
        <v>9</v>
      </c>
      <c r="B81" s="110">
        <f>data!$NB$34</f>
        <v>1</v>
      </c>
      <c r="C81" s="445">
        <f>data!PL34</f>
        <v>423266207</v>
      </c>
      <c r="D81" s="446" t="str">
        <f>data!PM34</f>
        <v/>
      </c>
      <c r="E81" s="446">
        <f>data!PN34</f>
        <v>16238752</v>
      </c>
      <c r="F81" s="446" t="str">
        <f>data!PO34</f>
        <v/>
      </c>
      <c r="G81" s="446" t="str">
        <f>data!PP34</f>
        <v/>
      </c>
      <c r="H81" s="446" t="str">
        <f>data!PQ34</f>
        <v/>
      </c>
      <c r="I81" s="446" t="str">
        <f>data!PR34</f>
        <v/>
      </c>
      <c r="J81" s="446">
        <f>data!PS34</f>
        <v>3637872922</v>
      </c>
      <c r="K81" s="446">
        <f>data!PT34</f>
        <v>144383281</v>
      </c>
      <c r="L81" s="446" t="str">
        <f>data!PU34</f>
        <v/>
      </c>
      <c r="M81" s="446">
        <f>data!PV34</f>
        <v>97350</v>
      </c>
      <c r="N81" s="446" t="str">
        <f>data!PW34</f>
        <v/>
      </c>
      <c r="O81" s="446" t="str">
        <f>data!PX34</f>
        <v/>
      </c>
      <c r="P81" s="446">
        <f>data!PY34</f>
        <v>413917295</v>
      </c>
      <c r="Q81" s="446" t="str">
        <f>data!PZ34</f>
        <v/>
      </c>
      <c r="R81" s="446" t="str">
        <f>data!QA34</f>
        <v/>
      </c>
      <c r="S81" s="446" t="str">
        <f>data!QB34</f>
        <v/>
      </c>
      <c r="T81" s="446" t="str">
        <f>data!QC34</f>
        <v/>
      </c>
      <c r="U81" s="446">
        <f>data!QD34</f>
        <v>423677835</v>
      </c>
      <c r="V81" s="446">
        <f>data!QE34</f>
        <v>481114146</v>
      </c>
      <c r="W81" s="446">
        <f>data!QF34</f>
        <v>34969510</v>
      </c>
      <c r="X81" s="446" t="str">
        <f>data!QG34</f>
        <v/>
      </c>
      <c r="Y81" s="446" t="str">
        <f>data!QH34</f>
        <v/>
      </c>
      <c r="Z81" s="446" t="str">
        <f>data!QI34</f>
        <v/>
      </c>
      <c r="AA81" s="446" t="str">
        <f>data!QJ34</f>
        <v/>
      </c>
      <c r="AB81" s="446" t="str">
        <f>data!QK34</f>
        <v/>
      </c>
      <c r="AC81" s="446" t="str">
        <f>data!QL34</f>
        <v/>
      </c>
      <c r="AD81" s="446">
        <f>data!QM34</f>
        <v>10936551788</v>
      </c>
      <c r="AE81" s="447">
        <f>data!QN34</f>
        <v>16512089086</v>
      </c>
      <c r="AG81" s="109">
        <f>data!$NA$34</f>
        <v>9</v>
      </c>
      <c r="AH81" s="110">
        <f>data!$NB$34</f>
        <v>1</v>
      </c>
      <c r="AI81" s="37" t="str">
        <f>data!RR34</f>
        <v/>
      </c>
      <c r="AJ81" s="718"/>
      <c r="AK81" s="730"/>
    </row>
    <row r="82" spans="1:55" ht="15.75" customHeight="1">
      <c r="A82" s="109">
        <f>data!$NA$35</f>
        <v>9</v>
      </c>
      <c r="B82" s="110">
        <f>data!$NB$35</f>
        <v>2</v>
      </c>
      <c r="C82" s="445">
        <f>data!PL35</f>
        <v>422757770</v>
      </c>
      <c r="D82" s="446" t="str">
        <f>data!PM35</f>
        <v/>
      </c>
      <c r="E82" s="446">
        <f>data!PN35</f>
        <v>16235480</v>
      </c>
      <c r="F82" s="446" t="str">
        <f>data!PO35</f>
        <v/>
      </c>
      <c r="G82" s="446" t="str">
        <f>data!PP35</f>
        <v/>
      </c>
      <c r="H82" s="446" t="str">
        <f>data!PQ35</f>
        <v/>
      </c>
      <c r="I82" s="446" t="str">
        <f>data!PR35</f>
        <v/>
      </c>
      <c r="J82" s="446">
        <f>data!PS35</f>
        <v>3639478795</v>
      </c>
      <c r="K82" s="446">
        <f>data!PT35</f>
        <v>144251470</v>
      </c>
      <c r="L82" s="446" t="str">
        <f>data!PU35</f>
        <v/>
      </c>
      <c r="M82" s="446">
        <f>data!PV35</f>
        <v>95832</v>
      </c>
      <c r="N82" s="446" t="str">
        <f>data!PW35</f>
        <v/>
      </c>
      <c r="O82" s="446" t="str">
        <f>data!PX35</f>
        <v/>
      </c>
      <c r="P82" s="446">
        <f>data!PY35</f>
        <v>413965141</v>
      </c>
      <c r="Q82" s="446" t="str">
        <f>data!PZ35</f>
        <v/>
      </c>
      <c r="R82" s="446" t="str">
        <f>data!QA35</f>
        <v/>
      </c>
      <c r="S82" s="446" t="str">
        <f>data!QB35</f>
        <v/>
      </c>
      <c r="T82" s="446" t="str">
        <f>data!QC35</f>
        <v/>
      </c>
      <c r="U82" s="446">
        <f>data!QD35</f>
        <v>422962630</v>
      </c>
      <c r="V82" s="446">
        <f>data!QE35</f>
        <v>480894977</v>
      </c>
      <c r="W82" s="446">
        <f>data!QF35</f>
        <v>34958988</v>
      </c>
      <c r="X82" s="446" t="str">
        <f>data!QG35</f>
        <v/>
      </c>
      <c r="Y82" s="446" t="str">
        <f>data!QH35</f>
        <v/>
      </c>
      <c r="Z82" s="446" t="str">
        <f>data!QI35</f>
        <v/>
      </c>
      <c r="AA82" s="446" t="str">
        <f>data!QJ35</f>
        <v/>
      </c>
      <c r="AB82" s="446" t="str">
        <f>data!QK35</f>
        <v/>
      </c>
      <c r="AC82" s="446" t="str">
        <f>data!QL35</f>
        <v/>
      </c>
      <c r="AD82" s="446">
        <f>data!QM35</f>
        <v>11077112626</v>
      </c>
      <c r="AE82" s="447">
        <f>data!QN35</f>
        <v>16652713709</v>
      </c>
      <c r="AG82" s="109">
        <f>data!$NA$35</f>
        <v>9</v>
      </c>
      <c r="AH82" s="110">
        <f>data!$NB$35</f>
        <v>2</v>
      </c>
      <c r="AI82" s="37" t="str">
        <f>data!RR35</f>
        <v/>
      </c>
      <c r="AJ82" s="718"/>
      <c r="AK82" s="730"/>
    </row>
    <row r="83" spans="1:55" ht="15.75" customHeight="1">
      <c r="A83" s="109">
        <f>data!$NA$36</f>
        <v>5</v>
      </c>
      <c r="B83" s="110">
        <f>data!$NB$36</f>
        <v>0</v>
      </c>
      <c r="C83" s="445">
        <f>data!PL36</f>
        <v>849059638</v>
      </c>
      <c r="D83" s="446" t="str">
        <f>data!PM36</f>
        <v/>
      </c>
      <c r="E83" s="446">
        <f>data!PN36</f>
        <v>32850788</v>
      </c>
      <c r="F83" s="446" t="str">
        <f>data!PO36</f>
        <v/>
      </c>
      <c r="G83" s="446" t="str">
        <f>data!PP36</f>
        <v/>
      </c>
      <c r="H83" s="446" t="str">
        <f>data!PQ36</f>
        <v/>
      </c>
      <c r="I83" s="446" t="str">
        <f>data!PR36</f>
        <v/>
      </c>
      <c r="J83" s="446">
        <f>data!PS36</f>
        <v>1132858693</v>
      </c>
      <c r="K83" s="446">
        <f>data!PT36</f>
        <v>303394242</v>
      </c>
      <c r="L83" s="446" t="str">
        <f>data!PU36</f>
        <v/>
      </c>
      <c r="M83" s="446">
        <f>data!PV36</f>
        <v>607329</v>
      </c>
      <c r="N83" s="446" t="str">
        <f>data!PW36</f>
        <v/>
      </c>
      <c r="O83" s="446" t="str">
        <f>data!PX36</f>
        <v/>
      </c>
      <c r="P83" s="446">
        <f>data!PY36</f>
        <v>273998029</v>
      </c>
      <c r="Q83" s="446" t="str">
        <f>data!PZ36</f>
        <v/>
      </c>
      <c r="R83" s="446" t="str">
        <f>data!QA36</f>
        <v/>
      </c>
      <c r="S83" s="446" t="str">
        <f>data!QB36</f>
        <v/>
      </c>
      <c r="T83" s="446" t="str">
        <f>data!QC36</f>
        <v/>
      </c>
      <c r="U83" s="446">
        <f>data!QD36</f>
        <v>973406640</v>
      </c>
      <c r="V83" s="446">
        <f>data!QE36</f>
        <v>1008870044</v>
      </c>
      <c r="W83" s="446">
        <f>data!QF36</f>
        <v>84950461</v>
      </c>
      <c r="X83" s="446" t="str">
        <f>data!QG36</f>
        <v/>
      </c>
      <c r="Y83" s="446" t="str">
        <f>data!QH36</f>
        <v/>
      </c>
      <c r="Z83" s="446" t="str">
        <f>data!QI36</f>
        <v/>
      </c>
      <c r="AA83" s="446" t="str">
        <f>data!QJ36</f>
        <v/>
      </c>
      <c r="AB83" s="446" t="str">
        <f>data!QK36</f>
        <v/>
      </c>
      <c r="AC83" s="446" t="str">
        <f>data!QL36</f>
        <v/>
      </c>
      <c r="AD83" s="446">
        <f>data!QM36</f>
        <v>3482083723</v>
      </c>
      <c r="AE83" s="447">
        <f>data!QN36</f>
        <v>8142079587</v>
      </c>
      <c r="AG83" s="109">
        <f>data!$NA$36</f>
        <v>5</v>
      </c>
      <c r="AH83" s="110">
        <f>data!$NB$36</f>
        <v>0</v>
      </c>
      <c r="AI83" s="37" t="str">
        <f>data!RR36</f>
        <v/>
      </c>
      <c r="AJ83" s="718"/>
      <c r="AK83" s="730"/>
    </row>
    <row r="84" spans="1:55" ht="15.75" customHeight="1">
      <c r="A84" s="109">
        <f>data!$NA$37</f>
        <v>5</v>
      </c>
      <c r="B84" s="110">
        <f>data!$NB$37</f>
        <v>1</v>
      </c>
      <c r="C84" s="445">
        <f>data!PL37</f>
        <v>423288018</v>
      </c>
      <c r="D84" s="446" t="str">
        <f>data!PM37</f>
        <v/>
      </c>
      <c r="E84" s="446">
        <f>data!PN37</f>
        <v>16240802</v>
      </c>
      <c r="F84" s="446" t="str">
        <f>data!PO37</f>
        <v/>
      </c>
      <c r="G84" s="446" t="str">
        <f>data!PP37</f>
        <v/>
      </c>
      <c r="H84" s="446" t="str">
        <f>data!PQ37</f>
        <v/>
      </c>
      <c r="I84" s="446" t="str">
        <f>data!PR37</f>
        <v/>
      </c>
      <c r="J84" s="446">
        <f>data!PS37</f>
        <v>3604459138</v>
      </c>
      <c r="K84" s="446">
        <f>data!PT37</f>
        <v>144390113</v>
      </c>
      <c r="L84" s="446" t="str">
        <f>data!PU37</f>
        <v/>
      </c>
      <c r="M84" s="446">
        <f>data!PV37</f>
        <v>97350</v>
      </c>
      <c r="N84" s="446" t="str">
        <f>data!PW37</f>
        <v/>
      </c>
      <c r="O84" s="446" t="str">
        <f>data!PX37</f>
        <v/>
      </c>
      <c r="P84" s="446">
        <f>data!PY37</f>
        <v>409472684</v>
      </c>
      <c r="Q84" s="446" t="str">
        <f>data!PZ37</f>
        <v/>
      </c>
      <c r="R84" s="446" t="str">
        <f>data!QA37</f>
        <v/>
      </c>
      <c r="S84" s="446" t="str">
        <f>data!QB37</f>
        <v/>
      </c>
      <c r="T84" s="446" t="str">
        <f>data!QC37</f>
        <v/>
      </c>
      <c r="U84" s="446">
        <f>data!QD37</f>
        <v>423680151</v>
      </c>
      <c r="V84" s="446">
        <f>data!QE37</f>
        <v>481114532</v>
      </c>
      <c r="W84" s="446">
        <f>data!QF37</f>
        <v>34969510</v>
      </c>
      <c r="X84" s="446" t="str">
        <f>data!QG37</f>
        <v/>
      </c>
      <c r="Y84" s="446" t="str">
        <f>data!QH37</f>
        <v/>
      </c>
      <c r="Z84" s="446" t="str">
        <f>data!QI37</f>
        <v/>
      </c>
      <c r="AA84" s="446" t="str">
        <f>data!QJ37</f>
        <v/>
      </c>
      <c r="AB84" s="446" t="str">
        <f>data!QK37</f>
        <v/>
      </c>
      <c r="AC84" s="446" t="str">
        <f>data!QL37</f>
        <v/>
      </c>
      <c r="AD84" s="446">
        <f>data!QM37</f>
        <v>11145062525</v>
      </c>
      <c r="AE84" s="447">
        <f>data!QN37</f>
        <v>16682774823</v>
      </c>
      <c r="AG84" s="109">
        <f>data!$NA$37</f>
        <v>5</v>
      </c>
      <c r="AH84" s="110">
        <f>data!$NB$37</f>
        <v>1</v>
      </c>
      <c r="AI84" s="37" t="str">
        <f>data!RR37</f>
        <v/>
      </c>
      <c r="AJ84" s="718"/>
      <c r="AK84" s="730"/>
    </row>
    <row r="85" spans="1:55" ht="15.75" customHeight="1">
      <c r="A85" s="109">
        <f>data!$NA$38</f>
        <v>5</v>
      </c>
      <c r="B85" s="110">
        <f>data!$NB$38</f>
        <v>2</v>
      </c>
      <c r="C85" s="445">
        <f>data!PL38</f>
        <v>422689997</v>
      </c>
      <c r="D85" s="446" t="str">
        <f>data!PM38</f>
        <v/>
      </c>
      <c r="E85" s="446">
        <f>data!PN38</f>
        <v>16237578</v>
      </c>
      <c r="F85" s="446" t="str">
        <f>data!PO38</f>
        <v/>
      </c>
      <c r="G85" s="446" t="str">
        <f>data!PP38</f>
        <v/>
      </c>
      <c r="H85" s="446" t="str">
        <f>data!PQ38</f>
        <v/>
      </c>
      <c r="I85" s="446" t="str">
        <f>data!PR38</f>
        <v/>
      </c>
      <c r="J85" s="446">
        <f>data!PS38</f>
        <v>3448377434</v>
      </c>
      <c r="K85" s="446">
        <f>data!PT38</f>
        <v>144229130</v>
      </c>
      <c r="L85" s="446" t="str">
        <f>data!PU38</f>
        <v/>
      </c>
      <c r="M85" s="446">
        <f>data!PV38</f>
        <v>95832</v>
      </c>
      <c r="N85" s="446" t="str">
        <f>data!PW38</f>
        <v/>
      </c>
      <c r="O85" s="446" t="str">
        <f>data!PX38</f>
        <v/>
      </c>
      <c r="P85" s="446">
        <f>data!PY38</f>
        <v>391283129</v>
      </c>
      <c r="Q85" s="446" t="str">
        <f>data!PZ38</f>
        <v/>
      </c>
      <c r="R85" s="446" t="str">
        <f>data!QA38</f>
        <v/>
      </c>
      <c r="S85" s="446" t="str">
        <f>data!QB38</f>
        <v/>
      </c>
      <c r="T85" s="446" t="str">
        <f>data!QC38</f>
        <v/>
      </c>
      <c r="U85" s="446">
        <f>data!QD38</f>
        <v>422964946</v>
      </c>
      <c r="V85" s="446">
        <f>data!QE38</f>
        <v>480895363</v>
      </c>
      <c r="W85" s="446">
        <f>data!QF38</f>
        <v>34958988</v>
      </c>
      <c r="X85" s="446" t="str">
        <f>data!QG38</f>
        <v/>
      </c>
      <c r="Y85" s="446" t="str">
        <f>data!QH38</f>
        <v/>
      </c>
      <c r="Z85" s="446" t="str">
        <f>data!QI38</f>
        <v/>
      </c>
      <c r="AA85" s="446" t="str">
        <f>data!QJ38</f>
        <v/>
      </c>
      <c r="AB85" s="446" t="str">
        <f>data!QK38</f>
        <v/>
      </c>
      <c r="AC85" s="446" t="str">
        <f>data!QL38</f>
        <v/>
      </c>
      <c r="AD85" s="446">
        <f>data!QM38</f>
        <v>11394752603</v>
      </c>
      <c r="AE85" s="447">
        <f>data!QN38</f>
        <v>16756485000</v>
      </c>
      <c r="AG85" s="109">
        <f>data!$NA$38</f>
        <v>5</v>
      </c>
      <c r="AH85" s="110">
        <f>data!$NB$38</f>
        <v>2</v>
      </c>
      <c r="AI85" s="37" t="str">
        <f>data!RR38</f>
        <v/>
      </c>
      <c r="AJ85" s="718"/>
      <c r="AK85" s="730"/>
    </row>
    <row r="86" spans="1:55" ht="15.75" customHeight="1">
      <c r="A86" s="109">
        <f>data!$NA$39</f>
        <v>13</v>
      </c>
      <c r="B86" s="110">
        <f>data!$NB$39</f>
        <v>0</v>
      </c>
      <c r="C86" s="445">
        <f>data!PL39</f>
        <v>849145921</v>
      </c>
      <c r="D86" s="446" t="str">
        <f>data!PM39</f>
        <v/>
      </c>
      <c r="E86" s="446">
        <f>data!PN39</f>
        <v>32850788</v>
      </c>
      <c r="F86" s="446" t="str">
        <f>data!PO39</f>
        <v/>
      </c>
      <c r="G86" s="446" t="str">
        <f>data!PP39</f>
        <v/>
      </c>
      <c r="H86" s="446" t="str">
        <f>data!PQ39</f>
        <v/>
      </c>
      <c r="I86" s="446" t="str">
        <f>data!PR39</f>
        <v/>
      </c>
      <c r="J86" s="446">
        <f>data!PS39</f>
        <v>1135942356</v>
      </c>
      <c r="K86" s="446">
        <f>data!PT39</f>
        <v>303481925</v>
      </c>
      <c r="L86" s="446" t="str">
        <f>data!PU39</f>
        <v/>
      </c>
      <c r="M86" s="446">
        <f>data!PV39</f>
        <v>607329</v>
      </c>
      <c r="N86" s="446" t="str">
        <f>data!PW39</f>
        <v/>
      </c>
      <c r="O86" s="446" t="str">
        <f>data!PX39</f>
        <v/>
      </c>
      <c r="P86" s="446">
        <f>data!PY39</f>
        <v>271311589</v>
      </c>
      <c r="Q86" s="446" t="str">
        <f>data!PZ39</f>
        <v/>
      </c>
      <c r="R86" s="446" t="str">
        <f>data!QA39</f>
        <v/>
      </c>
      <c r="S86" s="446" t="str">
        <f>data!QB39</f>
        <v/>
      </c>
      <c r="T86" s="446" t="str">
        <f>data!QC39</f>
        <v/>
      </c>
      <c r="U86" s="446">
        <f>data!QD39</f>
        <v>972178489</v>
      </c>
      <c r="V86" s="446">
        <f>data!QE39</f>
        <v>1008870044</v>
      </c>
      <c r="W86" s="446">
        <f>data!QF39</f>
        <v>84950461</v>
      </c>
      <c r="X86" s="446" t="str">
        <f>data!QG39</f>
        <v/>
      </c>
      <c r="Y86" s="446" t="str">
        <f>data!QH39</f>
        <v/>
      </c>
      <c r="Z86" s="446" t="str">
        <f>data!QI39</f>
        <v/>
      </c>
      <c r="AA86" s="446" t="str">
        <f>data!QJ39</f>
        <v/>
      </c>
      <c r="AB86" s="446" t="str">
        <f>data!QK39</f>
        <v/>
      </c>
      <c r="AC86" s="446" t="str">
        <f>data!QL39</f>
        <v/>
      </c>
      <c r="AD86" s="446">
        <f>data!QM39</f>
        <v>3455558135</v>
      </c>
      <c r="AE86" s="447">
        <f>data!QN39</f>
        <v>8114897037</v>
      </c>
      <c r="AG86" s="109">
        <f>data!$NA$39</f>
        <v>13</v>
      </c>
      <c r="AH86" s="110">
        <f>data!$NB$39</f>
        <v>0</v>
      </c>
      <c r="AI86" s="37" t="str">
        <f>data!RR39</f>
        <v/>
      </c>
      <c r="AJ86" s="718"/>
      <c r="AK86" s="730"/>
    </row>
    <row r="87" spans="1:55" ht="15.75" customHeight="1">
      <c r="A87" s="109">
        <f>data!$NA$40</f>
        <v>13</v>
      </c>
      <c r="B87" s="110">
        <f>data!$NB$40</f>
        <v>1</v>
      </c>
      <c r="C87" s="445">
        <f>data!PL40</f>
        <v>423272627</v>
      </c>
      <c r="D87" s="446" t="str">
        <f>data!PM40</f>
        <v/>
      </c>
      <c r="E87" s="446">
        <f>data!PN40</f>
        <v>16240802</v>
      </c>
      <c r="F87" s="446" t="str">
        <f>data!PO40</f>
        <v/>
      </c>
      <c r="G87" s="446" t="str">
        <f>data!PP40</f>
        <v/>
      </c>
      <c r="H87" s="446" t="str">
        <f>data!PQ40</f>
        <v/>
      </c>
      <c r="I87" s="446" t="str">
        <f>data!PR40</f>
        <v/>
      </c>
      <c r="J87" s="446">
        <f>data!PS40</f>
        <v>3607046233</v>
      </c>
      <c r="K87" s="446">
        <f>data!PT40</f>
        <v>144385084</v>
      </c>
      <c r="L87" s="446" t="str">
        <f>data!PU40</f>
        <v/>
      </c>
      <c r="M87" s="446">
        <f>data!PV40</f>
        <v>97350</v>
      </c>
      <c r="N87" s="446" t="str">
        <f>data!PW40</f>
        <v/>
      </c>
      <c r="O87" s="446" t="str">
        <f>data!PX40</f>
        <v/>
      </c>
      <c r="P87" s="446">
        <f>data!PY40</f>
        <v>409747823</v>
      </c>
      <c r="Q87" s="446" t="str">
        <f>data!PZ40</f>
        <v/>
      </c>
      <c r="R87" s="446" t="str">
        <f>data!QA40</f>
        <v/>
      </c>
      <c r="S87" s="446" t="str">
        <f>data!QB40</f>
        <v/>
      </c>
      <c r="T87" s="446" t="str">
        <f>data!QC40</f>
        <v/>
      </c>
      <c r="U87" s="446">
        <f>data!QD40</f>
        <v>423680151</v>
      </c>
      <c r="V87" s="446">
        <f>data!QE40</f>
        <v>481114532</v>
      </c>
      <c r="W87" s="446">
        <f>data!QF40</f>
        <v>34969510</v>
      </c>
      <c r="X87" s="446" t="str">
        <f>data!QG40</f>
        <v/>
      </c>
      <c r="Y87" s="446" t="str">
        <f>data!QH40</f>
        <v/>
      </c>
      <c r="Z87" s="446" t="str">
        <f>data!QI40</f>
        <v/>
      </c>
      <c r="AA87" s="446" t="str">
        <f>data!QJ40</f>
        <v/>
      </c>
      <c r="AB87" s="446" t="str">
        <f>data!QK40</f>
        <v/>
      </c>
      <c r="AC87" s="446" t="str">
        <f>data!QL40</f>
        <v/>
      </c>
      <c r="AD87" s="446">
        <f>data!QM40</f>
        <v>10967730021</v>
      </c>
      <c r="AE87" s="447">
        <f>data!QN40</f>
        <v>16508284133</v>
      </c>
      <c r="AG87" s="109">
        <f>data!$NA$40</f>
        <v>13</v>
      </c>
      <c r="AH87" s="110">
        <f>data!$NB$40</f>
        <v>1</v>
      </c>
      <c r="AI87" s="37" t="str">
        <f>data!RR40</f>
        <v/>
      </c>
      <c r="AJ87" s="718"/>
      <c r="AK87" s="730"/>
    </row>
    <row r="88" spans="1:55" ht="15.75" customHeight="1" thickBot="1">
      <c r="A88" s="114">
        <f>data!$NA$41</f>
        <v>13</v>
      </c>
      <c r="B88" s="463">
        <f>data!$NB$41</f>
        <v>2</v>
      </c>
      <c r="C88" s="448">
        <f>data!PL41</f>
        <v>422762664</v>
      </c>
      <c r="D88" s="449" t="str">
        <f>data!PM41</f>
        <v/>
      </c>
      <c r="E88" s="449">
        <f>data!PN41</f>
        <v>16237578</v>
      </c>
      <c r="F88" s="449" t="str">
        <f>data!PO41</f>
        <v/>
      </c>
      <c r="G88" s="449" t="str">
        <f>data!PP41</f>
        <v/>
      </c>
      <c r="H88" s="449" t="str">
        <f>data!PQ41</f>
        <v/>
      </c>
      <c r="I88" s="449" t="str">
        <f>data!PR41</f>
        <v/>
      </c>
      <c r="J88" s="449">
        <f>data!PS41</f>
        <v>3618851698</v>
      </c>
      <c r="K88" s="449">
        <f>data!PT41</f>
        <v>144252845</v>
      </c>
      <c r="L88" s="449" t="str">
        <f>data!PU41</f>
        <v/>
      </c>
      <c r="M88" s="449">
        <f>data!PV41</f>
        <v>95832</v>
      </c>
      <c r="N88" s="449" t="str">
        <f>data!PW41</f>
        <v/>
      </c>
      <c r="O88" s="449" t="str">
        <f>data!PX41</f>
        <v/>
      </c>
      <c r="P88" s="449">
        <f>data!PY41</f>
        <v>410988768</v>
      </c>
      <c r="Q88" s="449" t="str">
        <f>data!PZ41</f>
        <v/>
      </c>
      <c r="R88" s="449" t="str">
        <f>data!QA41</f>
        <v/>
      </c>
      <c r="S88" s="449" t="str">
        <f>data!QB41</f>
        <v/>
      </c>
      <c r="T88" s="449" t="str">
        <f>data!QC41</f>
        <v/>
      </c>
      <c r="U88" s="449">
        <f>data!QD41</f>
        <v>422964946</v>
      </c>
      <c r="V88" s="449">
        <f>data!QE41</f>
        <v>480895363</v>
      </c>
      <c r="W88" s="449">
        <f>data!QF41</f>
        <v>34958988</v>
      </c>
      <c r="X88" s="449" t="str">
        <f>data!QG41</f>
        <v/>
      </c>
      <c r="Y88" s="449" t="str">
        <f>data!QH41</f>
        <v/>
      </c>
      <c r="Z88" s="449" t="str">
        <f>data!QI41</f>
        <v/>
      </c>
      <c r="AA88" s="449" t="str">
        <f>data!QJ41</f>
        <v/>
      </c>
      <c r="AB88" s="449" t="str">
        <f>data!QK41</f>
        <v/>
      </c>
      <c r="AC88" s="449" t="str">
        <f>data!QL41</f>
        <v/>
      </c>
      <c r="AD88" s="449">
        <f>data!QM41</f>
        <v>11183994971</v>
      </c>
      <c r="AE88" s="450">
        <f>data!QN41</f>
        <v>16736003653</v>
      </c>
      <c r="AG88" s="114">
        <f>data!$NA$41</f>
        <v>13</v>
      </c>
      <c r="AH88" s="463">
        <f>data!$NB$41</f>
        <v>2</v>
      </c>
      <c r="AI88" s="491" t="str">
        <f>data!RR41</f>
        <v/>
      </c>
      <c r="AJ88" s="718"/>
      <c r="AK88" s="730"/>
    </row>
    <row r="89" spans="1:55" ht="15.75" customHeight="1" thickTop="1" thickBot="1">
      <c r="A89" s="666" t="str">
        <f>data!$NB$42</f>
        <v>CMG 1 total</v>
      </c>
      <c r="B89" s="667"/>
      <c r="C89" s="479">
        <f>data!PL42</f>
        <v>6780355682</v>
      </c>
      <c r="D89" s="480" t="str">
        <f>data!PM42</f>
        <v/>
      </c>
      <c r="E89" s="480">
        <f>data!PN42</f>
        <v>261303436</v>
      </c>
      <c r="F89" s="480" t="str">
        <f>data!PO42</f>
        <v/>
      </c>
      <c r="G89" s="480" t="str">
        <f>data!PP42</f>
        <v/>
      </c>
      <c r="H89" s="480" t="str">
        <f>data!PQ42</f>
        <v/>
      </c>
      <c r="I89" s="480" t="str">
        <f>data!PR42</f>
        <v/>
      </c>
      <c r="J89" s="480">
        <f>data!PS42</f>
        <v>33343910413</v>
      </c>
      <c r="K89" s="480">
        <f>data!PT42</f>
        <v>2368172639</v>
      </c>
      <c r="L89" s="480" t="str">
        <f>data!PU42</f>
        <v/>
      </c>
      <c r="M89" s="480">
        <f>data!PV42</f>
        <v>3202044</v>
      </c>
      <c r="N89" s="480" t="str">
        <f>data!PW42</f>
        <v/>
      </c>
      <c r="O89" s="480" t="str">
        <f>data!PX42</f>
        <v/>
      </c>
      <c r="P89" s="480">
        <f>data!PY42</f>
        <v>4368372365</v>
      </c>
      <c r="Q89" s="480" t="str">
        <f>data!PZ42</f>
        <v/>
      </c>
      <c r="R89" s="480" t="str">
        <f>data!QA42</f>
        <v/>
      </c>
      <c r="S89" s="480" t="str">
        <f>data!QB42</f>
        <v/>
      </c>
      <c r="T89" s="480" t="str">
        <f>data!QC42</f>
        <v/>
      </c>
      <c r="U89" s="480">
        <f>data!QD42</f>
        <v>7277507357</v>
      </c>
      <c r="V89" s="480">
        <f>data!QE42</f>
        <v>7883517320</v>
      </c>
      <c r="W89" s="480">
        <f>data!QF42</f>
        <v>619515836</v>
      </c>
      <c r="X89" s="480" t="str">
        <f>data!QG42</f>
        <v/>
      </c>
      <c r="Y89" s="480" t="str">
        <f>data!QH42</f>
        <v/>
      </c>
      <c r="Z89" s="480" t="str">
        <f>data!QI42</f>
        <v/>
      </c>
      <c r="AA89" s="480" t="str">
        <f>data!QJ42</f>
        <v/>
      </c>
      <c r="AB89" s="480" t="str">
        <f>data!QK42</f>
        <v/>
      </c>
      <c r="AC89" s="480" t="str">
        <f>data!QL42</f>
        <v/>
      </c>
      <c r="AD89" s="480">
        <f>data!QM42</f>
        <v>102915314498</v>
      </c>
      <c r="AE89" s="481">
        <f>data!QN42</f>
        <v>165821171590</v>
      </c>
      <c r="AG89" s="745" t="str">
        <f>data!$NB$42</f>
        <v>CMG 1 total</v>
      </c>
      <c r="AH89" s="746"/>
      <c r="AI89" s="492" t="str">
        <f>data!RR42</f>
        <v/>
      </c>
      <c r="AJ89" s="493" t="str">
        <f>data!RS42</f>
        <v/>
      </c>
      <c r="AK89" s="494" t="str">
        <f>data!RT42</f>
        <v/>
      </c>
    </row>
    <row r="90" spans="1:55" ht="15.75" customHeight="1" thickBot="1">
      <c r="A90" s="668"/>
      <c r="B90" s="669"/>
      <c r="C90" s="757">
        <f>data!PL43</f>
        <v>47125316579</v>
      </c>
      <c r="D90" s="758"/>
      <c r="E90" s="758"/>
      <c r="F90" s="758"/>
      <c r="G90" s="758"/>
      <c r="H90" s="758"/>
      <c r="I90" s="758"/>
      <c r="J90" s="758"/>
      <c r="K90" s="758"/>
      <c r="L90" s="758"/>
      <c r="M90" s="758"/>
      <c r="N90" s="758"/>
      <c r="O90" s="758"/>
      <c r="P90" s="759"/>
      <c r="Q90" s="770" t="str">
        <f>data!PZ43</f>
        <v/>
      </c>
      <c r="R90" s="758"/>
      <c r="S90" s="759"/>
      <c r="T90" s="43" t="str">
        <f>data!QC43</f>
        <v/>
      </c>
      <c r="U90" s="770">
        <f>data!QD43</f>
        <v>15780540513</v>
      </c>
      <c r="V90" s="758"/>
      <c r="W90" s="759"/>
      <c r="X90" s="769" t="str">
        <f>data!QG43</f>
        <v/>
      </c>
      <c r="Y90" s="769"/>
      <c r="Z90" s="43" t="str">
        <f>data!QI43</f>
        <v/>
      </c>
      <c r="AA90" s="43" t="str">
        <f>data!QJ43</f>
        <v/>
      </c>
      <c r="AB90" s="43" t="str">
        <f>data!QK43</f>
        <v/>
      </c>
      <c r="AC90" s="43" t="str">
        <f>data!QL43</f>
        <v/>
      </c>
      <c r="AD90" s="43">
        <f>data!QM43</f>
        <v>102915314498</v>
      </c>
      <c r="AE90" s="451">
        <f>data!QN43</f>
        <v>165821171590</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1</v>
      </c>
      <c r="B98" s="112">
        <f>data!$NB$30</f>
        <v>0</v>
      </c>
      <c r="C98" s="125" t="str">
        <f>data!RC30</f>
        <v/>
      </c>
      <c r="D98" s="48" t="str">
        <f>data!RD30</f>
        <v/>
      </c>
      <c r="E98" s="48" t="str">
        <f>data!RE30</f>
        <v/>
      </c>
      <c r="F98" s="48" t="str">
        <f>data!RF30</f>
        <v/>
      </c>
      <c r="G98" s="48" t="str">
        <f>data!RG30</f>
        <v/>
      </c>
      <c r="H98" s="48" t="str">
        <f>data!RH30</f>
        <v/>
      </c>
      <c r="I98" s="126" t="str">
        <f>data!RI30</f>
        <v/>
      </c>
      <c r="K98" s="111">
        <f>data!$NA$30</f>
        <v>1</v>
      </c>
      <c r="L98" s="112">
        <f>data!$NB$30</f>
        <v>0</v>
      </c>
      <c r="M98" s="572" t="str">
        <f>data!QO30</f>
        <v/>
      </c>
      <c r="N98" s="572" t="str">
        <f>data!QP30</f>
        <v/>
      </c>
      <c r="O98" s="572" t="str">
        <f>data!QQ30</f>
        <v/>
      </c>
      <c r="P98" s="129">
        <f>data!QR30</f>
        <v>0.8725659470091377</v>
      </c>
      <c r="R98" s="105">
        <f>data!$NA$30</f>
        <v>1</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1</v>
      </c>
      <c r="B99" s="110">
        <f>data!$NB$31</f>
        <v>1</v>
      </c>
      <c r="C99" s="7" t="str">
        <f>data!RC31</f>
        <v/>
      </c>
      <c r="D99" s="6" t="str">
        <f>data!RD31</f>
        <v/>
      </c>
      <c r="E99" s="6" t="str">
        <f>data!RE31</f>
        <v/>
      </c>
      <c r="F99" s="6" t="str">
        <f>data!RF31</f>
        <v/>
      </c>
      <c r="G99" s="6" t="str">
        <f>data!RG31</f>
        <v/>
      </c>
      <c r="H99" s="6" t="str">
        <f>data!RH31</f>
        <v/>
      </c>
      <c r="I99" s="8" t="str">
        <f>data!RI31</f>
        <v/>
      </c>
      <c r="K99" s="109">
        <f>data!$NA$31</f>
        <v>1</v>
      </c>
      <c r="L99" s="110">
        <f>data!$NB$31</f>
        <v>1</v>
      </c>
      <c r="M99" s="573" t="str">
        <f>data!QO31</f>
        <v/>
      </c>
      <c r="N99" s="573" t="str">
        <f>data!QP31</f>
        <v/>
      </c>
      <c r="O99" s="573" t="str">
        <f>data!QQ31</f>
        <v/>
      </c>
      <c r="P99" s="26">
        <f>data!QR31</f>
        <v>0.49793195218221398</v>
      </c>
      <c r="R99" s="109">
        <f>data!$NA$31</f>
        <v>1</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1</v>
      </c>
      <c r="B100" s="110">
        <f>data!$NB$32</f>
        <v>2</v>
      </c>
      <c r="C100" s="7" t="str">
        <f>data!RC32</f>
        <v/>
      </c>
      <c r="D100" s="6" t="str">
        <f>data!RD32</f>
        <v/>
      </c>
      <c r="E100" s="6" t="str">
        <f>data!RE32</f>
        <v/>
      </c>
      <c r="F100" s="6" t="str">
        <f>data!RF32</f>
        <v/>
      </c>
      <c r="G100" s="6" t="str">
        <f>data!RG32</f>
        <v/>
      </c>
      <c r="H100" s="6" t="str">
        <f>data!RH32</f>
        <v/>
      </c>
      <c r="I100" s="8" t="str">
        <f>data!RI32</f>
        <v/>
      </c>
      <c r="K100" s="109">
        <f>data!$NA$32</f>
        <v>1</v>
      </c>
      <c r="L100" s="110">
        <f>data!$NB$32</f>
        <v>2</v>
      </c>
      <c r="M100" s="573" t="str">
        <f>data!QO32</f>
        <v/>
      </c>
      <c r="N100" s="573" t="str">
        <f>data!QP32</f>
        <v/>
      </c>
      <c r="O100" s="573" t="str">
        <f>data!QQ32</f>
        <v/>
      </c>
      <c r="P100" s="26">
        <f>data!QR32</f>
        <v>0.49702178139892694</v>
      </c>
      <c r="R100" s="109">
        <f>data!$NA$32</f>
        <v>1</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9</v>
      </c>
      <c r="B101" s="110">
        <f>data!$NB$33</f>
        <v>0</v>
      </c>
      <c r="C101" s="7" t="str">
        <f>data!RC33</f>
        <v/>
      </c>
      <c r="D101" s="6" t="str">
        <f>data!RD33</f>
        <v/>
      </c>
      <c r="E101" s="6" t="str">
        <f>data!RE33</f>
        <v/>
      </c>
      <c r="F101" s="6" t="str">
        <f>data!RF33</f>
        <v/>
      </c>
      <c r="G101" s="6" t="str">
        <f>data!RG33</f>
        <v/>
      </c>
      <c r="H101" s="6" t="str">
        <f>data!RH33</f>
        <v/>
      </c>
      <c r="I101" s="8" t="str">
        <f>data!RI33</f>
        <v/>
      </c>
      <c r="K101" s="109">
        <f>data!$NA$33</f>
        <v>9</v>
      </c>
      <c r="L101" s="110">
        <f>data!$NB$33</f>
        <v>0</v>
      </c>
      <c r="M101" s="573" t="str">
        <f>data!QO33</f>
        <v/>
      </c>
      <c r="N101" s="573" t="str">
        <f>data!QP33</f>
        <v/>
      </c>
      <c r="O101" s="573" t="str">
        <f>data!QQ33</f>
        <v/>
      </c>
      <c r="P101" s="26">
        <f>data!QR33</f>
        <v>0.87263389399299474</v>
      </c>
      <c r="R101" s="109">
        <f>data!$NA$33</f>
        <v>9</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9</v>
      </c>
      <c r="B102" s="110">
        <f>data!$NB$34</f>
        <v>1</v>
      </c>
      <c r="C102" s="7" t="str">
        <f>data!RC34</f>
        <v/>
      </c>
      <c r="D102" s="6" t="str">
        <f>data!RD34</f>
        <v/>
      </c>
      <c r="E102" s="6" t="str">
        <f>data!RE34</f>
        <v/>
      </c>
      <c r="F102" s="6" t="str">
        <f>data!RF34</f>
        <v/>
      </c>
      <c r="G102" s="6" t="str">
        <f>data!RG34</f>
        <v/>
      </c>
      <c r="H102" s="6" t="str">
        <f>data!RH34</f>
        <v/>
      </c>
      <c r="I102" s="8" t="str">
        <f>data!RI34</f>
        <v/>
      </c>
      <c r="K102" s="109">
        <f>data!$NA$34</f>
        <v>9</v>
      </c>
      <c r="L102" s="110">
        <f>data!$NB$34</f>
        <v>1</v>
      </c>
      <c r="M102" s="573" t="str">
        <f>data!QO34</f>
        <v/>
      </c>
      <c r="N102" s="573" t="str">
        <f>data!QP34</f>
        <v/>
      </c>
      <c r="O102" s="573" t="str">
        <f>data!QQ34</f>
        <v/>
      </c>
      <c r="P102" s="26">
        <f>data!QR34</f>
        <v>0.49809756406107469</v>
      </c>
      <c r="R102" s="109">
        <f>data!$NA$34</f>
        <v>9</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9</v>
      </c>
      <c r="B103" s="110">
        <f>data!$NB$35</f>
        <v>2</v>
      </c>
      <c r="C103" s="7" t="str">
        <f>data!RC35</f>
        <v/>
      </c>
      <c r="D103" s="6" t="str">
        <f>data!RD35</f>
        <v/>
      </c>
      <c r="E103" s="6" t="str">
        <f>data!RE35</f>
        <v/>
      </c>
      <c r="F103" s="6" t="str">
        <f>data!RF35</f>
        <v/>
      </c>
      <c r="G103" s="6" t="str">
        <f>data!RG35</f>
        <v/>
      </c>
      <c r="H103" s="6" t="str">
        <f>data!RH35</f>
        <v/>
      </c>
      <c r="I103" s="8" t="str">
        <f>data!RI35</f>
        <v/>
      </c>
      <c r="K103" s="109">
        <f>data!$NA$35</f>
        <v>9</v>
      </c>
      <c r="L103" s="110">
        <f>data!$NB$35</f>
        <v>2</v>
      </c>
      <c r="M103" s="573" t="str">
        <f>data!QO35</f>
        <v/>
      </c>
      <c r="N103" s="573" t="str">
        <f>data!QP35</f>
        <v/>
      </c>
      <c r="O103" s="573" t="str">
        <f>data!QQ35</f>
        <v/>
      </c>
      <c r="P103" s="26">
        <f>data!QR35</f>
        <v>0.49717122811118331</v>
      </c>
      <c r="R103" s="109">
        <f>data!$NA$35</f>
        <v>9</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5</v>
      </c>
      <c r="B104" s="110">
        <f>data!$NB$36</f>
        <v>0</v>
      </c>
      <c r="C104" s="7" t="str">
        <f>data!RC36</f>
        <v/>
      </c>
      <c r="D104" s="6" t="str">
        <f>data!RD36</f>
        <v/>
      </c>
      <c r="E104" s="6" t="str">
        <f>data!RE36</f>
        <v/>
      </c>
      <c r="F104" s="6" t="str">
        <f>data!RF36</f>
        <v/>
      </c>
      <c r="G104" s="6" t="str">
        <f>data!RG36</f>
        <v/>
      </c>
      <c r="H104" s="6" t="str">
        <f>data!RH36</f>
        <v/>
      </c>
      <c r="I104" s="8" t="str">
        <f>data!RI36</f>
        <v/>
      </c>
      <c r="K104" s="109">
        <f>data!$NA$36</f>
        <v>5</v>
      </c>
      <c r="L104" s="110">
        <f>data!$NB$36</f>
        <v>0</v>
      </c>
      <c r="M104" s="573" t="str">
        <f>data!QO36</f>
        <v/>
      </c>
      <c r="N104" s="573" t="str">
        <f>data!QP36</f>
        <v/>
      </c>
      <c r="O104" s="573" t="str">
        <f>data!QQ36</f>
        <v/>
      </c>
      <c r="P104" s="26">
        <f>data!QR36</f>
        <v>0.87278045078831601</v>
      </c>
      <c r="R104" s="109">
        <f>data!$NA$36</f>
        <v>5</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5</v>
      </c>
      <c r="B105" s="110">
        <f>data!$NB$37</f>
        <v>1</v>
      </c>
      <c r="C105" s="7" t="str">
        <f>data!RC37</f>
        <v/>
      </c>
      <c r="D105" s="6" t="str">
        <f>data!RD37</f>
        <v/>
      </c>
      <c r="E105" s="6" t="str">
        <f>data!RE37</f>
        <v/>
      </c>
      <c r="F105" s="6" t="str">
        <f>data!RF37</f>
        <v/>
      </c>
      <c r="G105" s="6" t="str">
        <f>data!RG37</f>
        <v/>
      </c>
      <c r="H105" s="6" t="str">
        <f>data!RH37</f>
        <v/>
      </c>
      <c r="I105" s="8" t="str">
        <f>data!RI37</f>
        <v/>
      </c>
      <c r="K105" s="109">
        <f>data!$NA$37</f>
        <v>5</v>
      </c>
      <c r="L105" s="110">
        <f>data!$NB$37</f>
        <v>1</v>
      </c>
      <c r="M105" s="573" t="str">
        <f>data!QO37</f>
        <v/>
      </c>
      <c r="N105" s="573" t="str">
        <f>data!QP37</f>
        <v/>
      </c>
      <c r="O105" s="573" t="str">
        <f>data!QQ37</f>
        <v/>
      </c>
      <c r="P105" s="26">
        <f>data!QR37</f>
        <v>0.49807992534250817</v>
      </c>
      <c r="R105" s="109">
        <f>data!$NA$37</f>
        <v>5</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5</v>
      </c>
      <c r="B106" s="110">
        <f>data!$NB$38</f>
        <v>2</v>
      </c>
      <c r="C106" s="7" t="str">
        <f>data!RC38</f>
        <v/>
      </c>
      <c r="D106" s="6" t="str">
        <f>data!RD38</f>
        <v/>
      </c>
      <c r="E106" s="6" t="str">
        <f>data!RE38</f>
        <v/>
      </c>
      <c r="F106" s="6" t="str">
        <f>data!RF38</f>
        <v/>
      </c>
      <c r="G106" s="6" t="str">
        <f>data!RG38</f>
        <v/>
      </c>
      <c r="H106" s="6" t="str">
        <f>data!RH38</f>
        <v/>
      </c>
      <c r="I106" s="8" t="str">
        <f>data!RI38</f>
        <v/>
      </c>
      <c r="K106" s="109">
        <f>data!$NA$38</f>
        <v>5</v>
      </c>
      <c r="L106" s="110">
        <f>data!$NB$38</f>
        <v>2</v>
      </c>
      <c r="M106" s="573" t="str">
        <f>data!QO38</f>
        <v/>
      </c>
      <c r="N106" s="573" t="str">
        <f>data!QP38</f>
        <v/>
      </c>
      <c r="O106" s="573" t="str">
        <f>data!QQ38</f>
        <v/>
      </c>
      <c r="P106" s="26">
        <f>data!QR38</f>
        <v>0.49715684715703107</v>
      </c>
      <c r="R106" s="109">
        <f>data!$NA$38</f>
        <v>5</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13</v>
      </c>
      <c r="B107" s="110">
        <f>data!$NB$39</f>
        <v>0</v>
      </c>
      <c r="C107" s="7" t="str">
        <f>data!RC39</f>
        <v/>
      </c>
      <c r="D107" s="6" t="str">
        <f>data!RD39</f>
        <v/>
      </c>
      <c r="E107" s="6" t="str">
        <f>data!RE39</f>
        <v/>
      </c>
      <c r="F107" s="6" t="str">
        <f>data!RF39</f>
        <v/>
      </c>
      <c r="G107" s="6" t="str">
        <f>data!RG39</f>
        <v/>
      </c>
      <c r="H107" s="6" t="str">
        <f>data!RH39</f>
        <v/>
      </c>
      <c r="I107" s="8" t="str">
        <f>data!RI39</f>
        <v/>
      </c>
      <c r="K107" s="109">
        <f>data!$NA$39</f>
        <v>13</v>
      </c>
      <c r="L107" s="110">
        <f>data!$NB$39</f>
        <v>0</v>
      </c>
      <c r="M107" s="573" t="str">
        <f>data!QO39</f>
        <v/>
      </c>
      <c r="N107" s="573" t="str">
        <f>data!QP39</f>
        <v/>
      </c>
      <c r="O107" s="573" t="str">
        <f>data!QQ39</f>
        <v/>
      </c>
      <c r="P107" s="26">
        <f>data!QR39</f>
        <v>0.87943737692505863</v>
      </c>
      <c r="R107" s="109">
        <f>data!$NA$39</f>
        <v>13</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13</v>
      </c>
      <c r="B108" s="110">
        <f>data!$NB$40</f>
        <v>1</v>
      </c>
      <c r="C108" s="7" t="str">
        <f>data!RC40</f>
        <v/>
      </c>
      <c r="D108" s="6" t="str">
        <f>data!RD40</f>
        <v/>
      </c>
      <c r="E108" s="6" t="str">
        <f>data!RE40</f>
        <v/>
      </c>
      <c r="F108" s="6" t="str">
        <f>data!RF40</f>
        <v/>
      </c>
      <c r="G108" s="6" t="str">
        <f>data!RG40</f>
        <v/>
      </c>
      <c r="H108" s="6" t="str">
        <f>data!RH40</f>
        <v/>
      </c>
      <c r="I108" s="8" t="str">
        <f>data!RI40</f>
        <v/>
      </c>
      <c r="K108" s="109">
        <f>data!$NA$40</f>
        <v>13</v>
      </c>
      <c r="L108" s="110">
        <f>data!$NB$40</f>
        <v>1</v>
      </c>
      <c r="M108" s="573" t="str">
        <f>data!QO40</f>
        <v/>
      </c>
      <c r="N108" s="573" t="str">
        <f>data!QP40</f>
        <v/>
      </c>
      <c r="O108" s="573" t="str">
        <f>data!QQ40</f>
        <v/>
      </c>
      <c r="P108" s="26">
        <f>data!QR40</f>
        <v>0.49796762435343528</v>
      </c>
      <c r="R108" s="109">
        <f>data!$NA$40</f>
        <v>13</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13</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13</v>
      </c>
      <c r="L109" s="463">
        <f>data!$NB$41</f>
        <v>2</v>
      </c>
      <c r="M109" s="574" t="str">
        <f>data!QO41</f>
        <v/>
      </c>
      <c r="N109" s="574" t="str">
        <f>data!QP41</f>
        <v/>
      </c>
      <c r="O109" s="574" t="str">
        <f>data!QQ41</f>
        <v/>
      </c>
      <c r="P109" s="34">
        <f>data!QR41</f>
        <v>0.49707095149651925</v>
      </c>
      <c r="R109" s="114">
        <f>data!$NA$41</f>
        <v>13</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1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1 total</v>
      </c>
      <c r="L110" s="632"/>
      <c r="M110" s="575" t="str">
        <f>data!QO42</f>
        <v/>
      </c>
      <c r="N110" s="575" t="str">
        <f>data!QP42</f>
        <v/>
      </c>
      <c r="O110" s="575" t="str">
        <f>data!QQ42</f>
        <v/>
      </c>
      <c r="P110" s="487">
        <f>data!QR42</f>
        <v>7.6330121766555505</v>
      </c>
      <c r="R110" s="666" t="str">
        <f>data!$NB$42</f>
        <v>CMG 1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1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1</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1</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1673697602.0764575</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1.6736976020764576</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1</v>
      </c>
      <c r="AG30" s="430">
        <v>0</v>
      </c>
      <c r="AH30" s="430" t="s">
        <v>1975</v>
      </c>
      <c r="AI30" s="430">
        <v>0</v>
      </c>
      <c r="AJ30" s="430">
        <v>1</v>
      </c>
      <c r="AK30" s="594">
        <v>920191808</v>
      </c>
      <c r="AL30" s="594">
        <v>15401228225</v>
      </c>
      <c r="AM30" s="430">
        <v>2665310516</v>
      </c>
      <c r="AN30" s="430">
        <v>1450411234</v>
      </c>
      <c r="AO30" s="430">
        <v>36336841</v>
      </c>
      <c r="AP30" s="430">
        <v>21320367</v>
      </c>
      <c r="AQ30" s="595">
        <v>3642840</v>
      </c>
      <c r="AR30" s="595">
        <v>1581045</v>
      </c>
      <c r="AS30" s="594">
        <v>8225904756</v>
      </c>
      <c r="AT30" s="594">
        <v>2194727794</v>
      </c>
      <c r="AU30" s="430" t="s">
        <v>1974</v>
      </c>
      <c r="AV30" s="430" t="s">
        <v>1964</v>
      </c>
      <c r="AW30" s="430">
        <v>0</v>
      </c>
      <c r="AX30" s="430">
        <v>13</v>
      </c>
      <c r="AY30" s="430">
        <v>0</v>
      </c>
      <c r="AZ30" s="430" t="s">
        <v>1975</v>
      </c>
      <c r="BA30" s="430">
        <v>0</v>
      </c>
      <c r="BB30" s="430">
        <v>1</v>
      </c>
      <c r="BC30" s="430">
        <v>769390944</v>
      </c>
      <c r="BD30" s="430">
        <v>15381560972</v>
      </c>
      <c r="BE30" s="430">
        <v>12019711484</v>
      </c>
      <c r="BF30" s="595">
        <v>1183539227</v>
      </c>
      <c r="BG30" s="430">
        <v>7089491810</v>
      </c>
      <c r="BH30" s="595">
        <v>135156876</v>
      </c>
      <c r="BI30" s="430">
        <v>3578722121</v>
      </c>
      <c r="BJ30" s="430">
        <v>774541853</v>
      </c>
      <c r="BK30" s="430">
        <v>0</v>
      </c>
      <c r="BL30" s="430">
        <v>361054048</v>
      </c>
      <c r="BM30" s="430" t="s">
        <v>1974</v>
      </c>
      <c r="BN30" s="430" t="s">
        <v>1964</v>
      </c>
      <c r="BO30" s="430">
        <v>0</v>
      </c>
      <c r="BP30" s="430">
        <v>9</v>
      </c>
      <c r="BQ30" s="430">
        <v>0</v>
      </c>
      <c r="BR30" s="430" t="s">
        <v>1975</v>
      </c>
      <c r="BS30" s="430">
        <v>0</v>
      </c>
      <c r="BT30" s="430">
        <v>1</v>
      </c>
      <c r="BU30" s="430">
        <v>785143136</v>
      </c>
      <c r="BV30" s="430">
        <v>15638012805</v>
      </c>
      <c r="BW30" s="594">
        <v>4470133725</v>
      </c>
      <c r="BX30" s="594">
        <v>4394905744</v>
      </c>
      <c r="BY30" s="430">
        <v>2416515398</v>
      </c>
      <c r="BZ30" s="430">
        <v>1644415038</v>
      </c>
      <c r="CA30" s="430">
        <v>1810330820</v>
      </c>
      <c r="CB30" s="430">
        <v>16893101424</v>
      </c>
      <c r="CC30" s="430">
        <v>1422392704</v>
      </c>
      <c r="CD30" s="430">
        <v>17396444849</v>
      </c>
      <c r="CE30" s="430" t="s">
        <v>1974</v>
      </c>
      <c r="CF30" s="430" t="s">
        <v>1964</v>
      </c>
      <c r="CG30" s="430">
        <v>0</v>
      </c>
      <c r="CH30" s="430">
        <v>1</v>
      </c>
      <c r="CI30" s="430">
        <v>0</v>
      </c>
      <c r="CJ30" s="430" t="s">
        <v>1975</v>
      </c>
      <c r="CK30" s="430">
        <v>0</v>
      </c>
      <c r="CL30" s="430">
        <v>1</v>
      </c>
      <c r="CM30" s="430">
        <v>810443008</v>
      </c>
      <c r="CN30" s="430">
        <v>15576921391</v>
      </c>
      <c r="CO30" s="430">
        <v>3635475</v>
      </c>
      <c r="CP30" s="430">
        <v>148504649</v>
      </c>
      <c r="CQ30" s="430">
        <v>13315595</v>
      </c>
      <c r="CR30" s="430">
        <v>36803078</v>
      </c>
      <c r="CS30" s="430">
        <v>20841867</v>
      </c>
      <c r="CT30" s="430">
        <v>32848318</v>
      </c>
      <c r="CU30" s="430">
        <v>607329</v>
      </c>
      <c r="CV30" s="430">
        <v>1628684</v>
      </c>
      <c r="CW30" s="430" t="s">
        <v>1974</v>
      </c>
      <c r="CX30" s="430" t="s">
        <v>1964</v>
      </c>
      <c r="CY30" s="430">
        <v>0</v>
      </c>
      <c r="CZ30" s="430">
        <v>5</v>
      </c>
      <c r="DA30" s="430">
        <v>0</v>
      </c>
      <c r="DB30" s="430" t="s">
        <v>1975</v>
      </c>
      <c r="DC30" s="430">
        <v>0</v>
      </c>
      <c r="DD30" s="430">
        <v>1</v>
      </c>
      <c r="DE30" s="430">
        <v>791689504</v>
      </c>
      <c r="DF30" s="430">
        <v>15443957602</v>
      </c>
      <c r="DG30" s="430">
        <v>2066405423</v>
      </c>
      <c r="DH30" s="430">
        <v>1008869598</v>
      </c>
      <c r="DI30" s="430">
        <v>84950461</v>
      </c>
      <c r="DJ30" s="430">
        <v>1998238452</v>
      </c>
      <c r="DK30" s="430">
        <v>575748524</v>
      </c>
      <c r="DL30" s="430">
        <v>881907531</v>
      </c>
      <c r="DM30" s="430">
        <v>304002764</v>
      </c>
      <c r="DN30" s="430">
        <v>35098078</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1</v>
      </c>
      <c r="NB30" s="424">
        <f>IF($AG30="","",$AG30)</f>
        <v>0</v>
      </c>
      <c r="NC30" s="207">
        <f>IF(OR($AK30="",$C$4=""),"",IF($C$4=0,0,$AK30/$C$4))</f>
        <v>9.2019180800000004</v>
      </c>
      <c r="ND30" s="208">
        <f>IF(OR($NI30="",$NC30=""),"",IF($NC30=0,0,$NI30/10^9/$NC30))</f>
        <v>1.3162096415881155</v>
      </c>
      <c r="NE30" s="209">
        <f t="shared" ref="NE30:NE41" si="15">IF(OR($ND30="",$C$13="",$C$16=""),"",IF($C$13=0,0,$ND30/($C$13*$C$16/10^9)))</f>
        <v>2.4575258546465698E-2</v>
      </c>
      <c r="NF30" s="208">
        <f t="shared" ref="NF30:NF41" si="16">IF(OR($AO30="",$AQ30="",$AR30="",$AP30="",$C$7="",$NC30=""),"",IF($NC30=0,0,(($AO30-$AQ30-$AR30+$AP30)*$C$7/10^9)/$NC30))</f>
        <v>1.458710083191699</v>
      </c>
      <c r="NG30" s="210"/>
      <c r="NH30" s="211">
        <f>IF($AS30="","",$AS30)</f>
        <v>8225904756</v>
      </c>
      <c r="NI30" s="208">
        <f t="shared" ref="NI30:NI41" si="17">IF(OR($AM30="",$C$11="",$AN30=""),"",$AM30*$C$11+$AN30)</f>
        <v>12111653298</v>
      </c>
      <c r="NJ30" s="212">
        <f>IF(OR($AT30="",$AS30=""),"",IF($AS30=0,0,$AT30/$AS30))</f>
        <v>0.26680685700854473</v>
      </c>
      <c r="NK30" s="213">
        <f>IF(OR($AM30="",$C$11="",$AN30=""),"",IF($AM30*$C$11+$AN30=0,0,$AM30*$C$11/($AM30*$C$11+$AN30)))</f>
        <v>0.8802466353425501</v>
      </c>
      <c r="NL30" s="214">
        <f t="shared" ref="NL30:NL41" si="18">IF(OR($CB30="",$CD30="",$CA30="",$CC30=""),"",IF(($CA30+$CC30)=0,0,
GuardLimitUpper(
  ($CB30+$CD30) / ( ($CA30+$CC30)*16),
  data_GuardLimitFlag,
  1)
 ))</f>
        <v>0.66293842518606305</v>
      </c>
      <c r="NM30" s="208">
        <f>IF(OR($AS30="",$AL30=""),"",IF($AL30=0,0,$AS30/$AL30))</f>
        <v>0.53410706184116685</v>
      </c>
      <c r="NN30" s="208">
        <f t="shared" ref="NN30:NN41" si="19">IF(OR($AS30="",$NC30=""),"",IF($NC30=0,0,$AS30/10^9/$NC30))</f>
        <v>0.89393370865566324</v>
      </c>
      <c r="NO30" s="215">
        <f t="shared" ref="NO30:NO41" si="20">IF($O$5="Lv2",IF(OR($BH30="",$BD30="",$NC30=""),"",IF($BD30=0,0,$BH30/$BD30*$NC30)),
                             IF(OR($BH30="",$EE30="",$BD30="",$NC30=""),"",IF($BD30=0,0,
GuardLimitLower(
  ($BH30-$EE30)/$BD30*$NC30,
  data_GuardLimitFlag,
  0)
)))</f>
        <v>8.0856715593736292E-2</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4.160385313300841</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2.1409470630758718</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0.34515996762965317</v>
      </c>
      <c r="OA30" s="215">
        <f t="shared" ref="OA30:OA41" si="28">IF(OR($BK30="",$BD30="",$NC30=""),"",IF($BD30=0,0,$BK30/$BD30*$NC30))</f>
        <v>0</v>
      </c>
      <c r="OB30" s="215">
        <f t="shared" ref="OB30:OB41" si="29">IF(OR($BJ30="",$BK30="",$BL30="",$BD30="",$NC30=""),"",IF($BD30=0,0,($BJ30-($BK30+$BL30))/$BD30*$NC30))</f>
        <v>0.24736637039733958</v>
      </c>
      <c r="OC30" s="215">
        <f t="shared" ref="OC30:OC41" si="30">IF(OR($BL30="",$BD30="",$NC30=""),"",IF($BD30=0,0,$BL30/$BD30*$NC30))</f>
        <v>0.21599821878912928</v>
      </c>
      <c r="OD30" s="215">
        <f t="shared" ref="OD30:OD41" si="31">IF(OR($BF30="",$BD30="",$NC30=""),"",IF($BD30=0,0,$BF30/$BD30*$NC30))</f>
        <v>0.70804458865688424</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1.3031598425565452</v>
      </c>
      <c r="OI30" s="215">
        <f>IF($NQ$25="","",IF($NC30=0,"",$NC30))</f>
        <v>9.2019180800000004</v>
      </c>
      <c r="OJ30" s="218">
        <f>IF(OR($CA30="",$BV30=""),"",IF($BV30=0,0,$CA30/$BV30))</f>
        <v>0.1157647613270387</v>
      </c>
      <c r="OK30" s="218">
        <f>IF(OR($CC30="",$BV30=""),"",IF($BV30=0,0,$CC30/$BV30))</f>
        <v>9.0957381972804952E-2</v>
      </c>
      <c r="OL30" s="218" t="str">
        <f>IF(OR($FO30="",$FH30=""),"",IF($FH30=0,0,$FO30/$FH30))</f>
        <v/>
      </c>
      <c r="OM30" s="218" t="str">
        <f>IF(OR($FP30="",$FH30=""),"",IF($FH30=0,0,$FP30/$FH30))</f>
        <v/>
      </c>
      <c r="ON30" s="217">
        <f t="shared" ref="ON30:ON41" si="36">IF(OR($BW30="",$BX30="",$BV30=""),"",IF($BV30=0,0,AVERAGE($BW30,$BX30)/$BV30))</f>
        <v>0.28344520430900105</v>
      </c>
      <c r="OO30" s="210"/>
      <c r="OP30" s="210"/>
      <c r="OQ30" s="218" t="str">
        <f>IF(OR($FM30="",$FH30=""),"",IF($FH30=0,0,$FM30/$FH30))</f>
        <v/>
      </c>
      <c r="OR30" s="218" t="str">
        <f>IF(OR($FN30="",$FH30=""),"",IF($FH30=0,0,$FN30/$FH30))</f>
        <v/>
      </c>
      <c r="OS30" s="218">
        <f t="shared" ref="OS30:OS41" si="37">IF(OR($CB30="",$CA30=""),"",IF($CA30=0,0,
GuardLimitUpper(
  $CB30/($CA30*16),
  data_GuardLimitFlag,
  1)
))</f>
        <v>0.58321872849736933</v>
      </c>
      <c r="OT30" s="218">
        <f t="shared" ref="OT30:OT41" si="38">IF(OR($CD30="",$CC30=""),"",IF($CC30=0,0,
GuardLimitUpper(
  $CD30/($CC30*16),
  data_GuardLimitFlag,
  1)
))</f>
        <v>0.76440057658120553</v>
      </c>
      <c r="OU30" s="209" t="str">
        <f t="shared" ref="OU30:OU41" si="39">IF(OR($KH30="",$KJ30=""),"",IF($KJ30=0,0,$KH30/($KJ30*16)))</f>
        <v/>
      </c>
      <c r="OV30" s="209" t="str">
        <f t="shared" ref="OV30:OV41" si="40">IF(OR($KI30="",$KK30=""),"",IF($KK30=0,0,$KI30/($KK30*16)))</f>
        <v/>
      </c>
      <c r="OW30" s="209">
        <f>IF(OR($BZ30="",$BV30=""),"",IF($BV30=0,0,$BZ30/$BV30))</f>
        <v>0.10515498730594626</v>
      </c>
      <c r="OX30" s="219" t="str">
        <f t="shared" ref="OX30:OX41" si="41">IF(OR($GG30="",$AS30=""),"",IF($AS30=0,0,$GG30/$AS30))</f>
        <v/>
      </c>
      <c r="OY30" s="208">
        <f>IF(OR($DJ30="",$DK30=""),"",$DJ30+$DK30)</f>
        <v>2573986976</v>
      </c>
      <c r="OZ30" s="208">
        <f t="shared" ref="OZ30:OZ41" si="42">IF($CP30="","",$CP30)</f>
        <v>148504649</v>
      </c>
      <c r="PA30" s="209">
        <f>IF(OR($OZ30="",$OY30=""),"",IF($OY30=0,0,$OZ30/$OY30))</f>
        <v>5.7694405754444657E-2</v>
      </c>
      <c r="PB30" s="209">
        <f>IF(OR($CQ30="",$OZ30=""),"",IF($OZ30=0,0,
GuardLimitUpper(
  ($OZ30-$CQ30)/$OZ30,
  data_GuardLimitFlag,
  1)
))</f>
        <v>0.91033550067513369</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31112956</v>
      </c>
      <c r="PF30" s="209">
        <f>IF(OR($PE30="",$OY30=""),"",IF($OY30=0,0,$PE30/$OY30))</f>
        <v>1.208745665385993E-2</v>
      </c>
      <c r="PG30" s="209">
        <f t="shared" ref="PG30:PG41" si="45">IF($O$7="Lv2",IF(OR($CS30="",$CO30="",$PE30=""),"",IF($PE30=0,0,($CS30-$CO30)/$PE30)),
                             IF(OR($CS30="",$CO30="",$GH30="",$GC30=""),"",IF($CS30-$CO30+$GC30-$GH30=0,0,
GuardLimitUpper(
  GuardLimitLower(
  ($CS30-$CO30)/($CS30-$CO30+$GC30-$GH30),
    data_GuardLimitFlag,
    0),
  data_GuardLimitFlag,
  1)
)))</f>
        <v>0.55302980533254376</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849059213</v>
      </c>
      <c r="PM30" s="221" t="str">
        <f t="shared" ref="PM30:PM41" si="50">IF($O$8="Lv2", "",IF($HK30="","",$HK30))</f>
        <v/>
      </c>
      <c r="PN30" s="221">
        <f>IF($CT30="","",$CT30)</f>
        <v>32848318</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1116330921</v>
      </c>
      <c r="PT30" s="221">
        <f>IF($O$8="Lv2",  IF($DM30="","",IF($CU30="",$DM30,
GuardLimitLower(
  $DM30-$CU30,
  data_GuardLimitFlag,
  0)
)),
                               IF(OR($DM30="",$HO30="",$GT30="",$HL30="",$CU30=""),"",
GuardLimitLower(
  ($DM30-$HO30)-($GT30+$HL30+$CU30),
  data_GuardLimitFlag,
  0)
))</f>
        <v>303395435</v>
      </c>
      <c r="PU30" s="221" t="str">
        <f t="shared" ref="PU30:PU41" si="55">IF($O$8="Lv2", "",IF($HL30="","",$HL30))</f>
        <v/>
      </c>
      <c r="PV30" s="221">
        <f>IF($CU30="","",$CU30)</f>
        <v>607329</v>
      </c>
      <c r="PW30" s="221" t="str">
        <f t="shared" ref="PW30:PW41" si="56">IF($O$8="Lv2","",IF($GT30="","",IF($IV30="",$GT30,
GuardLimitLower(
  $GT30-$IV30,
  data_GuardLimitFlag,
  0)
)))</f>
        <v/>
      </c>
      <c r="PX30" s="221" t="str">
        <f>IF($O$8="Lv2","",IF($IV30="","",$IV30))</f>
        <v/>
      </c>
      <c r="PY30" s="221">
        <f t="shared" ref="PY30:PY41" si="57">IF($O$8="Lv2",IF(OR($DK30="",$DM30=""),"",$DK30-$DM30),
                             IF(OR($DK30="",$DM30="",$HO30=""),"",$DK30-($DM30-$HO30)))</f>
        <v>271745760</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972585364</v>
      </c>
      <c r="QE30" s="221">
        <f>IF($DH30="","",$DH30)</f>
        <v>1008869598</v>
      </c>
      <c r="QF30" s="221">
        <f>IF($DI30="","",$DI30)</f>
        <v>84950461</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3585512357</v>
      </c>
      <c r="QN30" s="222">
        <f>IF(OR($O$8="Lv2",$O$8="Lv3",$O$8="Lv4"),IF($AS30="","",$AS30),"")</f>
        <v>8225904756</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0.8725659470091377</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9.2019180800000004</v>
      </c>
      <c r="RV30" s="208">
        <f>IF(OR($AL30="",$AL30=""),"",IF($AL30=0,0,$AL30/$AL30))</f>
        <v>1</v>
      </c>
      <c r="RW30" s="208">
        <f>IF(OR($BD30="",$AL30=""),"",IF($AL30=0,0,$BD30/$AL30))</f>
        <v>0.99872300749572196</v>
      </c>
      <c r="RX30" s="208">
        <f>IF(OR($BV30="",$AL30=""),"",IF($AL30=0,0,$BV30/$AL30))</f>
        <v>1.0153743958949741</v>
      </c>
      <c r="RY30" s="208">
        <f>IF(OR($CN30="",$AL30=""),"",IF($AL30=0,0,$CN30/$AL30))</f>
        <v>1.0114077373202488</v>
      </c>
      <c r="RZ30" s="208">
        <f t="shared" ref="RZ30:RZ41" si="85">IF(OR($DF30="",$AL30=""),"",IF($AL30=0,0,$DF30/$AL30))</f>
        <v>1.0027744135971337</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1</v>
      </c>
      <c r="SN30" s="225">
        <f t="shared" ref="SN30:SN41" si="98">IF(OR($NC30="",$SM30=""),"",IF($SM30=0,0,$NC30/$SM30))</f>
        <v>9.2019180800000004</v>
      </c>
      <c r="SO30" s="209">
        <f>IF(OR($OI30="",$OC30="",COUNT($OI$30:$OI$41)=0),"",IF(MAX($OI$30:$OI$41)=0,0,($OI30-$OC30)/MAX($OI$30:$OI$41)))</f>
        <v>0.97652682659079593</v>
      </c>
      <c r="SP30" s="209">
        <f>IF(OR($NH30="",COUNT($NH$30:$NH$41)=0),"",IF(MAX($NH$30:$NH$41)=0,0,$NH30/MAX($NH$30:$NH$41)))</f>
        <v>0.49090872912785705</v>
      </c>
      <c r="SQ30" s="222">
        <f>IF($AL30="","",$AL30)</f>
        <v>15401228225</v>
      </c>
      <c r="SR30" s="222">
        <f>IF($BD30="","",$BD30)</f>
        <v>15381560972</v>
      </c>
      <c r="SS30" s="222">
        <f>IF($BV30="","",$BV30)</f>
        <v>15638012805</v>
      </c>
      <c r="ST30" s="222">
        <f>IF($CN30="","",$CN30)</f>
        <v>15576921391</v>
      </c>
      <c r="SU30" s="222">
        <f>IF($DF30="","",$DF30)</f>
        <v>15443957602</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1</v>
      </c>
      <c r="AG31" s="430">
        <v>1</v>
      </c>
      <c r="AH31" s="430" t="s">
        <v>1975</v>
      </c>
      <c r="AI31" s="430">
        <v>0</v>
      </c>
      <c r="AJ31" s="430">
        <v>1</v>
      </c>
      <c r="AK31" s="594">
        <v>807123840</v>
      </c>
      <c r="AL31" s="594">
        <v>13654616310</v>
      </c>
      <c r="AM31" s="430">
        <v>1505289488</v>
      </c>
      <c r="AN31" s="430">
        <v>518592291</v>
      </c>
      <c r="AO31" s="430">
        <v>10557469</v>
      </c>
      <c r="AP31" s="430">
        <v>7041732</v>
      </c>
      <c r="AQ31" s="595">
        <v>668936</v>
      </c>
      <c r="AR31" s="595">
        <v>191451</v>
      </c>
      <c r="AS31" s="594">
        <v>16708818808</v>
      </c>
      <c r="AT31" s="594">
        <v>1221349517</v>
      </c>
      <c r="AU31" s="430" t="s">
        <v>1974</v>
      </c>
      <c r="AV31" s="430" t="s">
        <v>1964</v>
      </c>
      <c r="AW31" s="430">
        <v>0</v>
      </c>
      <c r="AX31" s="430">
        <v>13</v>
      </c>
      <c r="AY31" s="430">
        <v>1</v>
      </c>
      <c r="AZ31" s="430" t="s">
        <v>1975</v>
      </c>
      <c r="BA31" s="430">
        <v>0</v>
      </c>
      <c r="BB31" s="430">
        <v>1</v>
      </c>
      <c r="BC31" s="430">
        <v>698769248</v>
      </c>
      <c r="BD31" s="430">
        <v>13578635474</v>
      </c>
      <c r="BE31" s="430">
        <v>7414085567</v>
      </c>
      <c r="BF31" s="595">
        <v>2190582803</v>
      </c>
      <c r="BG31" s="430">
        <v>3303346837</v>
      </c>
      <c r="BH31" s="595">
        <v>133379397</v>
      </c>
      <c r="BI31" s="430">
        <v>2588416194</v>
      </c>
      <c r="BJ31" s="430">
        <v>646158852</v>
      </c>
      <c r="BK31" s="430">
        <v>0</v>
      </c>
      <c r="BL31" s="430">
        <v>1741104</v>
      </c>
      <c r="BM31" s="430" t="s">
        <v>1974</v>
      </c>
      <c r="BN31" s="430" t="s">
        <v>1964</v>
      </c>
      <c r="BO31" s="430">
        <v>0</v>
      </c>
      <c r="BP31" s="430">
        <v>9</v>
      </c>
      <c r="BQ31" s="430">
        <v>1</v>
      </c>
      <c r="BR31" s="430" t="s">
        <v>1975</v>
      </c>
      <c r="BS31" s="430">
        <v>0</v>
      </c>
      <c r="BT31" s="430">
        <v>1</v>
      </c>
      <c r="BU31" s="430">
        <v>692783360</v>
      </c>
      <c r="BV31" s="430">
        <v>13435200435</v>
      </c>
      <c r="BW31" s="594">
        <v>3754183366</v>
      </c>
      <c r="BX31" s="594">
        <v>4090720124</v>
      </c>
      <c r="BY31" s="430">
        <v>2352143642</v>
      </c>
      <c r="BZ31" s="430">
        <v>866615780</v>
      </c>
      <c r="CA31" s="430">
        <v>832339699</v>
      </c>
      <c r="CB31" s="430">
        <v>7079089328</v>
      </c>
      <c r="CC31" s="430">
        <v>661070211</v>
      </c>
      <c r="CD31" s="430">
        <v>7605033882</v>
      </c>
      <c r="CE31" s="430" t="s">
        <v>1974</v>
      </c>
      <c r="CF31" s="430" t="s">
        <v>1964</v>
      </c>
      <c r="CG31" s="430">
        <v>0</v>
      </c>
      <c r="CH31" s="430">
        <v>1</v>
      </c>
      <c r="CI31" s="430">
        <v>1</v>
      </c>
      <c r="CJ31" s="430" t="s">
        <v>1975</v>
      </c>
      <c r="CK31" s="430">
        <v>0</v>
      </c>
      <c r="CL31" s="430">
        <v>1</v>
      </c>
      <c r="CM31" s="430">
        <v>690328128</v>
      </c>
      <c r="CN31" s="430">
        <v>13383624646</v>
      </c>
      <c r="CO31" s="430">
        <v>678526</v>
      </c>
      <c r="CP31" s="430">
        <v>32639738</v>
      </c>
      <c r="CQ31" s="430">
        <v>7747696</v>
      </c>
      <c r="CR31" s="430">
        <v>10538487</v>
      </c>
      <c r="CS31" s="430">
        <v>3904559</v>
      </c>
      <c r="CT31" s="430">
        <v>16238752</v>
      </c>
      <c r="CU31" s="430">
        <v>97350</v>
      </c>
      <c r="CV31" s="430">
        <v>192065</v>
      </c>
      <c r="CW31" s="430" t="s">
        <v>1974</v>
      </c>
      <c r="CX31" s="430" t="s">
        <v>1964</v>
      </c>
      <c r="CY31" s="430">
        <v>0</v>
      </c>
      <c r="CZ31" s="430">
        <v>5</v>
      </c>
      <c r="DA31" s="430">
        <v>1</v>
      </c>
      <c r="DB31" s="430" t="s">
        <v>1975</v>
      </c>
      <c r="DC31" s="430">
        <v>0</v>
      </c>
      <c r="DD31" s="430">
        <v>1</v>
      </c>
      <c r="DE31" s="430">
        <v>688368672</v>
      </c>
      <c r="DF31" s="430">
        <v>13303497790</v>
      </c>
      <c r="DG31" s="430">
        <v>939761491</v>
      </c>
      <c r="DH31" s="430">
        <v>481114146</v>
      </c>
      <c r="DI31" s="430">
        <v>34969510</v>
      </c>
      <c r="DJ31" s="430">
        <v>4065494120</v>
      </c>
      <c r="DK31" s="430">
        <v>556710833</v>
      </c>
      <c r="DL31" s="430">
        <v>439501066</v>
      </c>
      <c r="DM31" s="430">
        <v>144479346</v>
      </c>
      <c r="DN31" s="430">
        <v>13387321</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1</v>
      </c>
      <c r="NB31" s="424">
        <f t="shared" ref="NB31:NB41" si="101">IF($AG31="","",$AG31)</f>
        <v>1</v>
      </c>
      <c r="NC31" s="207">
        <f t="shared" ref="NC31:NC41" si="102">IF(OR($AK31="",$C$4=""),"",$AK31/$C$4)</f>
        <v>8.0712384000000004</v>
      </c>
      <c r="ND31" s="208">
        <f t="shared" ref="ND31:ND40" si="103">IF(OR($NI31="",$NC31=""),"",IF($NC31=0,0,$NI31/10^9/$NC31))</f>
        <v>0.81025363381658999</v>
      </c>
      <c r="NE31" s="209">
        <f t="shared" si="15"/>
        <v>1.5128435402760262E-2</v>
      </c>
      <c r="NF31" s="208">
        <f t="shared" si="16"/>
        <v>0.53091436179112239</v>
      </c>
      <c r="NG31" s="210"/>
      <c r="NH31" s="211">
        <f t="shared" ref="NH31:NH41" si="104">IF($AS31="","",$AS31)</f>
        <v>16708818808</v>
      </c>
      <c r="NI31" s="208">
        <f t="shared" si="17"/>
        <v>6539750243</v>
      </c>
      <c r="NJ31" s="212">
        <f t="shared" ref="NJ31:NJ41" si="105">IF(OR($AT31="",$AS31=""),"",IF($AS31=0,0,$AT31/$AS31))</f>
        <v>7.3096101587697582E-2</v>
      </c>
      <c r="NK31" s="213">
        <f t="shared" ref="NK31:NK41" si="106">IF(OR($AM31="",$C$11="",$AN31=""),"",IF($AM31*$C$11+$AN31=0,0,$AM31*$C$11/($AM31*$C$11+$AN31)))</f>
        <v>0.92070151431928315</v>
      </c>
      <c r="NL31" s="214">
        <f t="shared" si="18"/>
        <v>0.61453837588703297</v>
      </c>
      <c r="NM31" s="208">
        <f t="shared" ref="NM31:NM41" si="107">IF(OR($AS31="",$AL31=""),"",IF($AL31=0,0,$AS31/$AL31))</f>
        <v>1.223675453682521</v>
      </c>
      <c r="NN31" s="208">
        <f t="shared" si="19"/>
        <v>2.0701679197085792</v>
      </c>
      <c r="NO31" s="215">
        <f t="shared" si="20"/>
        <v>7.9281671040994386E-2</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1.8842514019518555</v>
      </c>
      <c r="NV31" s="215" t="str">
        <f t="shared" ref="NV31:NV41" si="111">IF($O$5="Lv2","",IF(OR($BG31="",$EB31="",$DZ31="",$BH31="",$NT31="",$BD31="",$NC31=""),"",IF(OR($BD31=0,$NC31=0),0,
GuardLimitLower(
  ($BG31-($EB31+$DZ31+$BH31+$NT31*$BD31/$NC31))/$BD31*$NC31,
  data_GuardLimitFlag,
  0)
)))</f>
        <v/>
      </c>
      <c r="NW31" s="215" t="str">
        <f t="shared" si="24"/>
        <v/>
      </c>
      <c r="NX31" s="215">
        <f t="shared" si="25"/>
        <v>1.5385731666629945</v>
      </c>
      <c r="NY31" s="215" t="str">
        <f t="shared" si="26"/>
        <v/>
      </c>
      <c r="NZ31" s="215">
        <f t="shared" si="27"/>
        <v>0.52079798331187355</v>
      </c>
      <c r="OA31" s="215">
        <f t="shared" si="28"/>
        <v>0</v>
      </c>
      <c r="OB31" s="215">
        <f t="shared" si="29"/>
        <v>0.3830465353649366</v>
      </c>
      <c r="OC31" s="215">
        <f t="shared" si="30"/>
        <v>1.0349247161175836E-3</v>
      </c>
      <c r="OD31" s="215">
        <f t="shared" si="31"/>
        <v>1.3020981432050214</v>
      </c>
      <c r="OE31" s="215" t="str">
        <f t="shared" si="32"/>
        <v/>
      </c>
      <c r="OF31" s="215" t="str">
        <f t="shared" si="33"/>
        <v/>
      </c>
      <c r="OG31" s="215" t="str">
        <f t="shared" si="34"/>
        <v/>
      </c>
      <c r="OH31" s="215">
        <f t="shared" si="35"/>
        <v>2.3621545737462073</v>
      </c>
      <c r="OI31" s="215">
        <f t="shared" ref="OI31:OI41" si="112">IF($NQ$25="","",IF($NC31=0,"",$NC31))</f>
        <v>8.0712384000000004</v>
      </c>
      <c r="OJ31" s="218">
        <f t="shared" ref="OJ31:OJ41" si="113">IF(OR($CA31="",$BV31=""),"",IF($BV31=0,0,$CA31/$BV31))</f>
        <v>6.195216089457619E-2</v>
      </c>
      <c r="OK31" s="218">
        <f t="shared" ref="OK31:OK41" si="114">IF(OR($CC31="",$BV31=""),"",IF($BV31=0,0,$CC31/$BV31))</f>
        <v>4.920434303889118E-2</v>
      </c>
      <c r="OL31" s="218" t="str">
        <f t="shared" ref="OL31:OL41" si="115">IF(OR($FO31="",$FH31=""),"",IF($FH31=0,0,$FO31/$FH31))</f>
        <v/>
      </c>
      <c r="OM31" s="218" t="str">
        <f t="shared" ref="OM31:OM41" si="116">IF(OR($FP31="",$FH31=""),"",IF($FH31=0,0,$FP31/$FH31))</f>
        <v/>
      </c>
      <c r="ON31" s="217">
        <f t="shared" si="36"/>
        <v>0.29195334777303605</v>
      </c>
      <c r="OO31" s="210"/>
      <c r="OP31" s="210"/>
      <c r="OQ31" s="218" t="str">
        <f t="shared" ref="OQ31:OQ41" si="117">IF(OR($FM31="",$FH31=""),"",IF($FH31=0,0,$FM31/$FH31))</f>
        <v/>
      </c>
      <c r="OR31" s="218" t="str">
        <f t="shared" ref="OR31:OR41" si="118">IF(OR($FN31="",$FH31=""),"",IF($FH31=0,0,$FN31/$FH31))</f>
        <v/>
      </c>
      <c r="OS31" s="218">
        <f t="shared" si="37"/>
        <v>0.53156551769856164</v>
      </c>
      <c r="OT31" s="218">
        <f t="shared" si="38"/>
        <v>0.71900776909307751</v>
      </c>
      <c r="OU31" s="209" t="str">
        <f t="shared" si="39"/>
        <v/>
      </c>
      <c r="OV31" s="209" t="str">
        <f t="shared" si="40"/>
        <v/>
      </c>
      <c r="OW31" s="209">
        <f t="shared" ref="OW31:OW41" si="119">IF(OR($BZ31="",$BV31=""),"",IF($BV31=0,0,$BZ31/$BV31))</f>
        <v>6.4503375605947932E-2</v>
      </c>
      <c r="OX31" s="219" t="str">
        <f t="shared" si="41"/>
        <v/>
      </c>
      <c r="OY31" s="208">
        <f t="shared" ref="OY31:OY41" si="120">IF(OR($DJ31="",$DK31=""),"",$DJ31+$DK31)</f>
        <v>4622204953</v>
      </c>
      <c r="OZ31" s="208">
        <f t="shared" si="42"/>
        <v>32639738</v>
      </c>
      <c r="PA31" s="209">
        <f t="shared" ref="PA31:PA40" si="121">IF(OR($OZ31="",$OY31=""),"",IF($OY31=0,0,$OZ31/$OY31))</f>
        <v>7.0615081615572834E-3</v>
      </c>
      <c r="PB31" s="209">
        <f>IF(OR($CQ31="",$OZ31=""),"",IF($OZ31=0,0,
GuardLimitUpper(
  ($OZ31-$CQ31)/$OZ31,
  data_GuardLimitFlag,
  1)
))</f>
        <v>0.76262995738507455</v>
      </c>
      <c r="PC31" s="209" t="str">
        <f t="shared" si="43"/>
        <v/>
      </c>
      <c r="PD31" s="209" t="str">
        <f t="shared" si="44"/>
        <v/>
      </c>
      <c r="PE31" s="208">
        <f t="shared" ref="PE31:PE41" si="122">IF($OY$25="","",IF(OR($AO31="",$AQ31="",$AR31=""),"",$AO31-$AQ31-$AR31))</f>
        <v>9697082</v>
      </c>
      <c r="PF31" s="209">
        <f t="shared" ref="PF31:PF41" si="123">IF(OR($PE31="",$OY31=""),"",IF($OY31=0,0,$PE31/$OY31))</f>
        <v>2.0979342323853892E-3</v>
      </c>
      <c r="PG31" s="209">
        <f t="shared" si="45"/>
        <v>0.33268080026548191</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423262314</v>
      </c>
      <c r="PM31" s="221" t="str">
        <f t="shared" si="50"/>
        <v/>
      </c>
      <c r="PN31" s="221">
        <f t="shared" ref="PN31:PN41" si="125">IF($CT31="","",$CT31)</f>
        <v>16238752</v>
      </c>
      <c r="PO31" s="221" t="str">
        <f t="shared" si="51"/>
        <v/>
      </c>
      <c r="PP31" s="221" t="str">
        <f t="shared" si="52"/>
        <v/>
      </c>
      <c r="PQ31" s="529" t="str">
        <f t="shared" ref="PQ31:PQ41" si="126">IF($O$8="Lv2","",IF($IU31="","",$IU31))</f>
        <v/>
      </c>
      <c r="PR31" s="221" t="str">
        <f t="shared" si="53"/>
        <v/>
      </c>
      <c r="PS31" s="221">
        <f t="shared" si="54"/>
        <v>3625993054</v>
      </c>
      <c r="PT31" s="221">
        <f t="shared" ref="PT31:PT41" si="127">IF($O$8="Lv2",  IF($DM31="","",IF($CU31="",$DM31,
GuardLimitLower(
  $DM31-$CU31,
  data_GuardLimitFlag,
  0)
)),
                               IF(OR($DM31="",$HO31="",$GT31="",$HL31="",$CU31=""),"",
GuardLimitLower(
  ($DM31-$HO31)-($GT31+$HL31+$CU31),
  data_GuardLimitFlag,
  0)
))</f>
        <v>144381996</v>
      </c>
      <c r="PU31" s="221" t="str">
        <f t="shared" si="55"/>
        <v/>
      </c>
      <c r="PV31" s="221">
        <f t="shared" ref="PV31:PV41" si="128">IF($CU31="","",$CU31)</f>
        <v>97350</v>
      </c>
      <c r="PW31" s="221" t="str">
        <f t="shared" si="56"/>
        <v/>
      </c>
      <c r="PX31" s="221" t="str">
        <f>IF($O$8="Lv2","",IF($IV31="","",$IV31))</f>
        <v/>
      </c>
      <c r="PY31" s="221">
        <f t="shared" si="57"/>
        <v>412231487</v>
      </c>
      <c r="PZ31" s="221" t="str">
        <f t="shared" si="58"/>
        <v/>
      </c>
      <c r="QA31" s="221" t="str">
        <f t="shared" si="59"/>
        <v/>
      </c>
      <c r="QB31" s="221" t="str">
        <f t="shared" si="60"/>
        <v/>
      </c>
      <c r="QC31" s="221" t="str">
        <f t="shared" si="61"/>
        <v/>
      </c>
      <c r="QD31" s="221">
        <f t="shared" ref="QD31:QD41" si="129">IF(OR($DG31="",$DH31="",$DI31=""),"",$DG31-($DH31+$DI31))</f>
        <v>423677835</v>
      </c>
      <c r="QE31" s="221">
        <f t="shared" ref="QE31:QE41" si="130">IF($DH31="","",$DH31)</f>
        <v>481114146</v>
      </c>
      <c r="QF31" s="221">
        <f t="shared" ref="QF31:QF41" si="131">IF($DI31="","",$DI31)</f>
        <v>34969510</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11146852364</v>
      </c>
      <c r="QN31" s="222">
        <f t="shared" ref="QN31:QN41" si="133">IF(OR($O$8="Lv2",$O$8="Lv3",$O$8="Lv4"),IF($AS31="","",$AS31),"")</f>
        <v>16708818808</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0.49793195218221398</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8.0712384000000004</v>
      </c>
      <c r="RV31" s="208">
        <f t="shared" ref="RV31:RV41" si="139">IF(OR($AL31="",$AL31=""),"",IF($AL31=0,0,$AL31/$AL31))</f>
        <v>1</v>
      </c>
      <c r="RW31" s="208">
        <f t="shared" ref="RW31:RW41" si="140">IF(OR($BD31="",$AL31=""),"",IF($AL31=0,0,$BD31/$AL31))</f>
        <v>0.99443552024641257</v>
      </c>
      <c r="RX31" s="208">
        <f t="shared" ref="RX31:RX41" si="141">IF(OR($BV31="",$AL31=""),"",IF($AL31=0,0,$BV31/$AL31))</f>
        <v>0.9839310113137848</v>
      </c>
      <c r="RY31" s="208">
        <f t="shared" ref="RY31:RY41" si="142">IF(OR($CN31="",$AL31=""),"",IF($AL31=0,0,$CN31/$AL31))</f>
        <v>0.98015384263843885</v>
      </c>
      <c r="RZ31" s="208">
        <f t="shared" si="85"/>
        <v>0.97428572784261558</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1</v>
      </c>
      <c r="SN31" s="225">
        <f t="shared" si="98"/>
        <v>8.0712384000000004</v>
      </c>
      <c r="SO31" s="209">
        <f t="shared" ref="SO31:SO40" si="144">IF(OR($OI31="",$OC31="",COUNT($OI$30:$OI$41)=0),"",IF(MAX($OI$30:$OI$41)=0,0,($OI31-$OC31)/MAX($OI$30:$OI$41)))</f>
        <v>0.87701318411257601</v>
      </c>
      <c r="SP31" s="209">
        <f t="shared" ref="SP31:SP40" si="145">IF(OR($NH31="",COUNT($NH$30:$NH$41)=0),"",IF(MAX($NH$30:$NH$41)=0,0,$NH31/MAX($NH$30:$NH$41)))</f>
        <v>0.99715535853730664</v>
      </c>
      <c r="SQ31" s="222">
        <f t="shared" ref="SQ31:SQ41" si="146">IF($AL31="","",$AL31)</f>
        <v>13654616310</v>
      </c>
      <c r="SR31" s="222">
        <f t="shared" ref="SR31:SR41" si="147">IF($BD31="","",$BD31)</f>
        <v>13578635474</v>
      </c>
      <c r="SS31" s="222">
        <f t="shared" ref="SS31:SS41" si="148">IF($BV31="","",$BV31)</f>
        <v>13435200435</v>
      </c>
      <c r="ST31" s="222">
        <f t="shared" ref="ST31:ST41" si="149">IF($CN31="","",$CN31)</f>
        <v>13383624646</v>
      </c>
      <c r="SU31" s="222">
        <f t="shared" ref="SU31:SU41" si="150">IF($DF31="","",$DF31)</f>
        <v>13303497790</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0.11185303624473084</v>
      </c>
      <c r="TM31" s="359">
        <f>IF(NE42="",0,NE42)</f>
        <v>1.8295010655029403E-2</v>
      </c>
      <c r="TN31" s="359">
        <f>IF(NG42="",0,NG42)</f>
        <v>4.119598853761644E-2</v>
      </c>
      <c r="TQ31" s="361"/>
      <c r="TR31" s="362">
        <f>IF(OR($NC$42="",VB31=""),0,$NC$42*VB31)</f>
        <v>0.61739060680806224</v>
      </c>
      <c r="TS31" s="362">
        <f>IF(OR($NC$42="",VC31=""),0,$NC$42*VC31)</f>
        <v>0</v>
      </c>
      <c r="TT31" s="362">
        <f>IF(OR($NC$42="",VD31=""),0,$NC$42*VD31)</f>
        <v>2.3664826932207763</v>
      </c>
      <c r="TU31" s="362">
        <f>IF(OR($NC$42="",VE31=""),0,$NC$42*VE31)</f>
        <v>0.7070851020447636</v>
      </c>
      <c r="TV31" s="362">
        <f>IF(OR($NC$42="",VF31=""),0,$NC$42*VF31)</f>
        <v>0.34770982300000003</v>
      </c>
      <c r="TW31" s="254"/>
      <c r="UC31" s="361"/>
      <c r="UD31" s="363">
        <f>IF(OR($NC$42="",VB31=""),0,$NC$42*VB31)</f>
        <v>0.61739060680806224</v>
      </c>
      <c r="UE31" s="363">
        <f>IF(OR($NC$42="",VC31=""),0,$NC$42*VC31)</f>
        <v>0</v>
      </c>
      <c r="UF31" s="363">
        <f>IF(OR($NC$42="",VD31=""),0,$NC$42*VD31)</f>
        <v>2.3664826932207763</v>
      </c>
      <c r="UG31" s="363">
        <f>IF(OR($NC$42="",VE31=""),0,$NC$42*VE31)</f>
        <v>0.7070851020447636</v>
      </c>
      <c r="UH31" s="363">
        <f>IF(OR($NC$42="",VF31=""),0,$NC$42*VF31)</f>
        <v>0.34770982300000003</v>
      </c>
      <c r="VA31" s="364" t="s">
        <v>457</v>
      </c>
      <c r="VB31" s="365">
        <f>IF(OR(OJ42="",OK42=""),0,(OJ42+OK42)/2)</f>
        <v>7.3147247155272307E-2</v>
      </c>
      <c r="VC31" s="365">
        <f>IF(OR(OL42="",OM42=""),0,(OL42+OM42)/2)</f>
        <v>0</v>
      </c>
      <c r="VD31" s="365">
        <f>IF(ON42="",0,ON42)</f>
        <v>0.28037630074198616</v>
      </c>
      <c r="VE31" s="365">
        <f>IF(OO42="",0,OO42)</f>
        <v>8.3774077785991774E-2</v>
      </c>
      <c r="VF31" s="365">
        <f>IF(OP42="",0,OP42)</f>
        <v>4.119598853761644E-2</v>
      </c>
      <c r="VI31" s="366" t="s">
        <v>457</v>
      </c>
      <c r="VJ31" s="367">
        <f>IF(PA42="",0,PA42)</f>
        <v>1.7406205741343078E-2</v>
      </c>
      <c r="VK31" s="367">
        <f>IF(PF42="",0,PF42)</f>
        <v>4.3512103023489379E-3</v>
      </c>
      <c r="VM31" s="369" t="s">
        <v>1418</v>
      </c>
      <c r="VN31" s="370">
        <f>IF(OR(PB42="",VJ31=""),0,PB42*VJ31)</f>
        <v>1.4973587749104804E-2</v>
      </c>
      <c r="VO31" s="370">
        <f>IF(OR(PB42="",VJ31=""),0,(1-PB42)*VJ31)</f>
        <v>2.4326179922382739E-3</v>
      </c>
      <c r="VQ31" s="369" t="s">
        <v>1418</v>
      </c>
      <c r="VR31" s="370">
        <f>IF(OR(PB42="",VJ31=""),0,PB42*VJ31)</f>
        <v>1.4973587749104804E-2</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1</v>
      </c>
      <c r="AG32" s="430">
        <v>2</v>
      </c>
      <c r="AH32" s="430" t="s">
        <v>1975</v>
      </c>
      <c r="AI32" s="430">
        <v>0</v>
      </c>
      <c r="AJ32" s="430">
        <v>1</v>
      </c>
      <c r="AK32" s="594">
        <v>807048672</v>
      </c>
      <c r="AL32" s="594">
        <v>13653529835</v>
      </c>
      <c r="AM32" s="430">
        <v>1504770722</v>
      </c>
      <c r="AN32" s="430">
        <v>517712159</v>
      </c>
      <c r="AO32" s="430">
        <v>11258356</v>
      </c>
      <c r="AP32" s="430">
        <v>7321629</v>
      </c>
      <c r="AQ32" s="595">
        <v>676465</v>
      </c>
      <c r="AR32" s="595">
        <v>210793</v>
      </c>
      <c r="AS32" s="594">
        <v>16683863276</v>
      </c>
      <c r="AT32" s="594">
        <v>1220657888</v>
      </c>
      <c r="AU32" s="430" t="s">
        <v>1974</v>
      </c>
      <c r="AV32" s="430" t="s">
        <v>1964</v>
      </c>
      <c r="AW32" s="430">
        <v>0</v>
      </c>
      <c r="AX32" s="430">
        <v>13</v>
      </c>
      <c r="AY32" s="430">
        <v>2</v>
      </c>
      <c r="AZ32" s="430" t="s">
        <v>1975</v>
      </c>
      <c r="BA32" s="430">
        <v>0</v>
      </c>
      <c r="BB32" s="430">
        <v>1</v>
      </c>
      <c r="BC32" s="430">
        <v>698730656</v>
      </c>
      <c r="BD32" s="430">
        <v>13577680000</v>
      </c>
      <c r="BE32" s="430">
        <v>7381453148</v>
      </c>
      <c r="BF32" s="595">
        <v>2210973310</v>
      </c>
      <c r="BG32" s="430">
        <v>3271573322</v>
      </c>
      <c r="BH32" s="595">
        <v>133179733</v>
      </c>
      <c r="BI32" s="430">
        <v>2588647969</v>
      </c>
      <c r="BJ32" s="430">
        <v>632384476</v>
      </c>
      <c r="BK32" s="430">
        <v>0</v>
      </c>
      <c r="BL32" s="430">
        <v>1460594</v>
      </c>
      <c r="BM32" s="430" t="s">
        <v>1974</v>
      </c>
      <c r="BN32" s="430" t="s">
        <v>1964</v>
      </c>
      <c r="BO32" s="430">
        <v>0</v>
      </c>
      <c r="BP32" s="430">
        <v>9</v>
      </c>
      <c r="BQ32" s="430">
        <v>2</v>
      </c>
      <c r="BR32" s="430" t="s">
        <v>1975</v>
      </c>
      <c r="BS32" s="430">
        <v>0</v>
      </c>
      <c r="BT32" s="430">
        <v>1</v>
      </c>
      <c r="BU32" s="430">
        <v>692728288</v>
      </c>
      <c r="BV32" s="430">
        <v>13434409157</v>
      </c>
      <c r="BW32" s="594">
        <v>3636532897</v>
      </c>
      <c r="BX32" s="594">
        <v>3707704747</v>
      </c>
      <c r="BY32" s="430">
        <v>2351435946</v>
      </c>
      <c r="BZ32" s="430">
        <v>359248707</v>
      </c>
      <c r="CA32" s="430">
        <v>832441721</v>
      </c>
      <c r="CB32" s="430">
        <v>7061644026</v>
      </c>
      <c r="CC32" s="430">
        <v>659958745</v>
      </c>
      <c r="CD32" s="430">
        <v>7590987858</v>
      </c>
      <c r="CE32" s="430" t="s">
        <v>1974</v>
      </c>
      <c r="CF32" s="430" t="s">
        <v>1964</v>
      </c>
      <c r="CG32" s="430">
        <v>0</v>
      </c>
      <c r="CH32" s="430">
        <v>1</v>
      </c>
      <c r="CI32" s="430">
        <v>2</v>
      </c>
      <c r="CJ32" s="430" t="s">
        <v>1975</v>
      </c>
      <c r="CK32" s="430">
        <v>0</v>
      </c>
      <c r="CL32" s="430">
        <v>1</v>
      </c>
      <c r="CM32" s="430">
        <v>690227808</v>
      </c>
      <c r="CN32" s="430">
        <v>13382259861</v>
      </c>
      <c r="CO32" s="430">
        <v>676983</v>
      </c>
      <c r="CP32" s="430">
        <v>31803320</v>
      </c>
      <c r="CQ32" s="430">
        <v>7605719</v>
      </c>
      <c r="CR32" s="430">
        <v>11177883</v>
      </c>
      <c r="CS32" s="430">
        <v>4189825</v>
      </c>
      <c r="CT32" s="430">
        <v>16235480</v>
      </c>
      <c r="CU32" s="430">
        <v>95832</v>
      </c>
      <c r="CV32" s="430">
        <v>212910</v>
      </c>
      <c r="CW32" s="430" t="s">
        <v>1974</v>
      </c>
      <c r="CX32" s="430" t="s">
        <v>1964</v>
      </c>
      <c r="CY32" s="430">
        <v>0</v>
      </c>
      <c r="CZ32" s="430">
        <v>5</v>
      </c>
      <c r="DA32" s="430">
        <v>2</v>
      </c>
      <c r="DB32" s="430" t="s">
        <v>1975</v>
      </c>
      <c r="DC32" s="430">
        <v>0</v>
      </c>
      <c r="DD32" s="430">
        <v>1</v>
      </c>
      <c r="DE32" s="430">
        <v>688281248</v>
      </c>
      <c r="DF32" s="430">
        <v>13302097145</v>
      </c>
      <c r="DG32" s="430">
        <v>938816595</v>
      </c>
      <c r="DH32" s="430">
        <v>480894977</v>
      </c>
      <c r="DI32" s="430">
        <v>34958988</v>
      </c>
      <c r="DJ32" s="430">
        <v>4069445933</v>
      </c>
      <c r="DK32" s="430">
        <v>556865425</v>
      </c>
      <c r="DL32" s="430">
        <v>438984587</v>
      </c>
      <c r="DM32" s="430">
        <v>144344471</v>
      </c>
      <c r="DN32" s="430">
        <v>13366518</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1</v>
      </c>
      <c r="NB32" s="424">
        <f t="shared" si="101"/>
        <v>2</v>
      </c>
      <c r="NC32" s="207">
        <f t="shared" si="102"/>
        <v>8.0704867199999999</v>
      </c>
      <c r="ND32" s="208">
        <f t="shared" si="103"/>
        <v>0.80996292711822959</v>
      </c>
      <c r="NE32" s="209">
        <f t="shared" si="15"/>
        <v>1.5123007549895746E-2</v>
      </c>
      <c r="NF32" s="208">
        <f t="shared" si="16"/>
        <v>0.56122242302630287</v>
      </c>
      <c r="NG32" s="210"/>
      <c r="NH32" s="211">
        <f t="shared" si="104"/>
        <v>16683863276</v>
      </c>
      <c r="NI32" s="208">
        <f t="shared" si="17"/>
        <v>6536795047</v>
      </c>
      <c r="NJ32" s="212">
        <f t="shared" si="105"/>
        <v>7.3163982934092708E-2</v>
      </c>
      <c r="NK32" s="213">
        <f t="shared" si="106"/>
        <v>0.92080030729468887</v>
      </c>
      <c r="NL32" s="214">
        <f t="shared" si="18"/>
        <v>0.61363522299382611</v>
      </c>
      <c r="NM32" s="208">
        <f t="shared" si="107"/>
        <v>1.2219450557929659</v>
      </c>
      <c r="NN32" s="208">
        <f t="shared" si="19"/>
        <v>2.0672685371818567</v>
      </c>
      <c r="NO32" s="215">
        <f t="shared" si="20"/>
        <v>7.9161187076853018E-2</v>
      </c>
      <c r="NP32" s="216" t="str">
        <f t="shared" si="108"/>
        <v/>
      </c>
      <c r="NQ32" s="215" t="str">
        <f t="shared" si="109"/>
        <v/>
      </c>
      <c r="NR32" s="215" t="str">
        <f t="shared" si="110"/>
        <v/>
      </c>
      <c r="NS32" s="215" t="str">
        <f t="shared" si="21"/>
        <v/>
      </c>
      <c r="NT32" s="215" t="str">
        <f t="shared" si="22"/>
        <v/>
      </c>
      <c r="NU32" s="215">
        <f t="shared" si="23"/>
        <v>1.8654412080825029</v>
      </c>
      <c r="NV32" s="215" t="str">
        <f t="shared" si="111"/>
        <v/>
      </c>
      <c r="NW32" s="215" t="str">
        <f t="shared" si="24"/>
        <v/>
      </c>
      <c r="NX32" s="215">
        <f t="shared" si="25"/>
        <v>1.5386759046147405</v>
      </c>
      <c r="NY32" s="215" t="str">
        <f t="shared" si="26"/>
        <v/>
      </c>
      <c r="NZ32" s="215">
        <f t="shared" si="27"/>
        <v>0.52832523556802635</v>
      </c>
      <c r="OA32" s="215">
        <f t="shared" si="28"/>
        <v>0</v>
      </c>
      <c r="OB32" s="215">
        <f t="shared" si="29"/>
        <v>0.37501714659734559</v>
      </c>
      <c r="OC32" s="215">
        <f t="shared" si="30"/>
        <v>8.6816779304797872E-4</v>
      </c>
      <c r="OD32" s="215">
        <f t="shared" si="31"/>
        <v>1.3141884870338263</v>
      </c>
      <c r="OE32" s="215" t="str">
        <f t="shared" si="32"/>
        <v/>
      </c>
      <c r="OF32" s="215" t="str">
        <f t="shared" si="33"/>
        <v/>
      </c>
      <c r="OG32" s="215" t="str">
        <f t="shared" si="34"/>
        <v/>
      </c>
      <c r="OH32" s="215">
        <f t="shared" si="35"/>
        <v>2.368809383233657</v>
      </c>
      <c r="OI32" s="215">
        <f t="shared" si="112"/>
        <v>8.0704867199999999</v>
      </c>
      <c r="OJ32" s="218">
        <f t="shared" si="113"/>
        <v>6.196340391838194E-2</v>
      </c>
      <c r="OK32" s="218">
        <f t="shared" si="114"/>
        <v>4.912450836411577E-2</v>
      </c>
      <c r="OL32" s="218" t="str">
        <f t="shared" si="115"/>
        <v/>
      </c>
      <c r="OM32" s="218" t="str">
        <f t="shared" si="116"/>
        <v/>
      </c>
      <c r="ON32" s="217">
        <f t="shared" si="36"/>
        <v>0.27333683075199794</v>
      </c>
      <c r="OO32" s="210"/>
      <c r="OP32" s="210"/>
      <c r="OQ32" s="218" t="str">
        <f t="shared" si="117"/>
        <v/>
      </c>
      <c r="OR32" s="218" t="str">
        <f t="shared" si="118"/>
        <v/>
      </c>
      <c r="OS32" s="218">
        <f t="shared" si="37"/>
        <v>0.53019057129285807</v>
      </c>
      <c r="OT32" s="218">
        <f t="shared" si="38"/>
        <v>0.71888848313541176</v>
      </c>
      <c r="OU32" s="209" t="str">
        <f t="shared" si="39"/>
        <v/>
      </c>
      <c r="OV32" s="209" t="str">
        <f t="shared" si="40"/>
        <v/>
      </c>
      <c r="OW32" s="209">
        <f t="shared" si="119"/>
        <v>2.6740938347319384E-2</v>
      </c>
      <c r="OX32" s="219" t="str">
        <f t="shared" si="41"/>
        <v/>
      </c>
      <c r="OY32" s="208">
        <f t="shared" si="120"/>
        <v>4626311358</v>
      </c>
      <c r="OZ32" s="208">
        <f t="shared" si="42"/>
        <v>31803320</v>
      </c>
      <c r="PA32" s="209">
        <f t="shared" si="121"/>
        <v>6.8744443551133766E-3</v>
      </c>
      <c r="PB32" s="209">
        <f>IF(OR($CQ32="",$OZ32=""),"",IF($OZ32=0,0,
GuardLimitUpper(
  ($OZ32-$CQ32)/$OZ32,
  data_GuardLimitFlag,
  1)
))</f>
        <v>0.76085141425486391</v>
      </c>
      <c r="PC32" s="209" t="str">
        <f t="shared" si="43"/>
        <v/>
      </c>
      <c r="PD32" s="209" t="str">
        <f t="shared" si="44"/>
        <v/>
      </c>
      <c r="PE32" s="208">
        <f t="shared" si="122"/>
        <v>10371098</v>
      </c>
      <c r="PF32" s="209">
        <f t="shared" si="123"/>
        <v>2.2417639448468786E-3</v>
      </c>
      <c r="PG32" s="209">
        <f t="shared" si="45"/>
        <v>0.33871457004841726</v>
      </c>
      <c r="PH32" s="209" t="str">
        <f t="shared" si="46"/>
        <v/>
      </c>
      <c r="PI32" s="209" t="str">
        <f t="shared" si="47"/>
        <v/>
      </c>
      <c r="PJ32" s="220" t="str">
        <f t="shared" si="48"/>
        <v/>
      </c>
      <c r="PK32" s="220" t="str">
        <f t="shared" si="49"/>
        <v/>
      </c>
      <c r="PL32" s="221">
        <f t="shared" si="124"/>
        <v>422749107</v>
      </c>
      <c r="PM32" s="221" t="str">
        <f t="shared" si="50"/>
        <v/>
      </c>
      <c r="PN32" s="221">
        <f t="shared" si="125"/>
        <v>16235480</v>
      </c>
      <c r="PO32" s="221" t="str">
        <f t="shared" si="51"/>
        <v/>
      </c>
      <c r="PP32" s="221" t="str">
        <f t="shared" si="52"/>
        <v/>
      </c>
      <c r="PQ32" s="529" t="str">
        <f t="shared" si="126"/>
        <v/>
      </c>
      <c r="PR32" s="221" t="str">
        <f t="shared" si="53"/>
        <v/>
      </c>
      <c r="PS32" s="221">
        <f t="shared" si="54"/>
        <v>3630461346</v>
      </c>
      <c r="PT32" s="221">
        <f t="shared" si="127"/>
        <v>144248639</v>
      </c>
      <c r="PU32" s="221" t="str">
        <f t="shared" si="55"/>
        <v/>
      </c>
      <c r="PV32" s="221">
        <f t="shared" si="128"/>
        <v>95832</v>
      </c>
      <c r="PW32" s="221" t="str">
        <f t="shared" si="56"/>
        <v/>
      </c>
      <c r="PX32" s="221" t="str">
        <f t="shared" ref="PX32:PX41" si="162">IF($O$8="Lv2","",IF($IV32="","",$IV32))</f>
        <v/>
      </c>
      <c r="PY32" s="221">
        <f t="shared" si="57"/>
        <v>412520954</v>
      </c>
      <c r="PZ32" s="221" t="str">
        <f t="shared" si="58"/>
        <v/>
      </c>
      <c r="QA32" s="221" t="str">
        <f t="shared" si="59"/>
        <v/>
      </c>
      <c r="QB32" s="221" t="str">
        <f t="shared" si="60"/>
        <v/>
      </c>
      <c r="QC32" s="221" t="str">
        <f t="shared" si="61"/>
        <v/>
      </c>
      <c r="QD32" s="221">
        <f t="shared" si="129"/>
        <v>422962630</v>
      </c>
      <c r="QE32" s="221">
        <f t="shared" si="130"/>
        <v>480894977</v>
      </c>
      <c r="QF32" s="221">
        <f t="shared" si="131"/>
        <v>34958988</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11118735323</v>
      </c>
      <c r="QN32" s="222">
        <f t="shared" si="133"/>
        <v>16683863276</v>
      </c>
      <c r="QO32" s="222" t="str">
        <f t="shared" si="134"/>
        <v/>
      </c>
      <c r="QP32" s="222" t="str">
        <f t="shared" si="135"/>
        <v/>
      </c>
      <c r="QQ32" s="222" t="str">
        <f t="shared" si="136"/>
        <v/>
      </c>
      <c r="QR32" s="222">
        <f t="shared" si="67"/>
        <v>0.49702178139892694</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8.0704867199999999</v>
      </c>
      <c r="RV32" s="208">
        <f t="shared" si="139"/>
        <v>1</v>
      </c>
      <c r="RW32" s="208">
        <f t="shared" si="140"/>
        <v>0.99444467211654208</v>
      </c>
      <c r="RX32" s="208">
        <f t="shared" si="141"/>
        <v>0.98395135319232263</v>
      </c>
      <c r="RY32" s="208">
        <f t="shared" si="142"/>
        <v>0.98013187964737036</v>
      </c>
      <c r="RZ32" s="208">
        <f t="shared" si="85"/>
        <v>0.97426067147126139</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1</v>
      </c>
      <c r="SN32" s="225">
        <f t="shared" si="98"/>
        <v>8.0704867199999999</v>
      </c>
      <c r="SO32" s="209">
        <f t="shared" si="144"/>
        <v>0.87694961876980237</v>
      </c>
      <c r="SP32" s="209">
        <f t="shared" si="145"/>
        <v>0.99566605263574071</v>
      </c>
      <c r="SQ32" s="222">
        <f t="shared" si="146"/>
        <v>13653529835</v>
      </c>
      <c r="SR32" s="222">
        <f t="shared" si="147"/>
        <v>13577680000</v>
      </c>
      <c r="SS32" s="222">
        <f t="shared" si="148"/>
        <v>13434409157</v>
      </c>
      <c r="ST32" s="222">
        <f t="shared" si="149"/>
        <v>13382259861</v>
      </c>
      <c r="SU32" s="222">
        <f t="shared" si="150"/>
        <v>13302097145</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2.0272417234555424E-3</v>
      </c>
      <c r="VO32" s="370">
        <f>IF(OR(PG42="",VK31=""),0,(1-PG42)*VK31)</f>
        <v>2.3239685788933955E-3</v>
      </c>
      <c r="VQ32" s="369" t="s">
        <v>1419</v>
      </c>
      <c r="VR32" s="370">
        <f>IF(OR(PG42="",VK31=""),0,PG42*VK31)</f>
        <v>2.0272417234555424E-3</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9</v>
      </c>
      <c r="AG33" s="430">
        <v>0</v>
      </c>
      <c r="AH33" s="430" t="s">
        <v>1975</v>
      </c>
      <c r="AI33" s="430">
        <v>0</v>
      </c>
      <c r="AJ33" s="430">
        <v>1</v>
      </c>
      <c r="AK33" s="594">
        <v>919984320</v>
      </c>
      <c r="AL33" s="594">
        <v>15410185974</v>
      </c>
      <c r="AM33" s="430">
        <v>2665317652</v>
      </c>
      <c r="AN33" s="430">
        <v>1450811939</v>
      </c>
      <c r="AO33" s="430">
        <v>36510526</v>
      </c>
      <c r="AP33" s="430">
        <v>21469088</v>
      </c>
      <c r="AQ33" s="595">
        <v>3694807</v>
      </c>
      <c r="AR33" s="595">
        <v>1531975</v>
      </c>
      <c r="AS33" s="594">
        <v>8097257722</v>
      </c>
      <c r="AT33" s="594">
        <v>2194768907</v>
      </c>
      <c r="AU33" s="430" t="s">
        <v>1974</v>
      </c>
      <c r="AV33" s="430" t="s">
        <v>1964</v>
      </c>
      <c r="AW33" s="430">
        <v>0</v>
      </c>
      <c r="AX33" s="430">
        <v>1</v>
      </c>
      <c r="AY33" s="430">
        <v>0</v>
      </c>
      <c r="AZ33" s="430" t="s">
        <v>1975</v>
      </c>
      <c r="BA33" s="430">
        <v>0</v>
      </c>
      <c r="BB33" s="430">
        <v>1</v>
      </c>
      <c r="BC33" s="430">
        <v>769385056</v>
      </c>
      <c r="BD33" s="430">
        <v>15306284368</v>
      </c>
      <c r="BE33" s="430">
        <v>11934665568</v>
      </c>
      <c r="BF33" s="595">
        <v>1190432558</v>
      </c>
      <c r="BG33" s="430">
        <v>7053191791</v>
      </c>
      <c r="BH33" s="595">
        <v>134859996</v>
      </c>
      <c r="BI33" s="430">
        <v>3563908108</v>
      </c>
      <c r="BJ33" s="430">
        <v>734879301</v>
      </c>
      <c r="BK33" s="430">
        <v>0</v>
      </c>
      <c r="BL33" s="430">
        <v>337046775</v>
      </c>
      <c r="BM33" s="430" t="s">
        <v>1974</v>
      </c>
      <c r="BN33" s="430" t="s">
        <v>1964</v>
      </c>
      <c r="BO33" s="430">
        <v>0</v>
      </c>
      <c r="BP33" s="430">
        <v>5</v>
      </c>
      <c r="BQ33" s="430">
        <v>0</v>
      </c>
      <c r="BR33" s="430" t="s">
        <v>1975</v>
      </c>
      <c r="BS33" s="430">
        <v>0</v>
      </c>
      <c r="BT33" s="430">
        <v>1</v>
      </c>
      <c r="BU33" s="430">
        <v>785106816</v>
      </c>
      <c r="BV33" s="430">
        <v>15625519444</v>
      </c>
      <c r="BW33" s="594">
        <v>4531024247</v>
      </c>
      <c r="BX33" s="594">
        <v>4494143914</v>
      </c>
      <c r="BY33" s="430">
        <v>2417079230</v>
      </c>
      <c r="BZ33" s="430">
        <v>1682492940</v>
      </c>
      <c r="CA33" s="430">
        <v>1810165376</v>
      </c>
      <c r="CB33" s="430">
        <v>16885646401</v>
      </c>
      <c r="CC33" s="430">
        <v>1422014747</v>
      </c>
      <c r="CD33" s="430">
        <v>17391859843</v>
      </c>
      <c r="CE33" s="430" t="s">
        <v>1974</v>
      </c>
      <c r="CF33" s="430" t="s">
        <v>1964</v>
      </c>
      <c r="CG33" s="430">
        <v>0</v>
      </c>
      <c r="CH33" s="430">
        <v>5</v>
      </c>
      <c r="CI33" s="430">
        <v>0</v>
      </c>
      <c r="CJ33" s="430" t="s">
        <v>1975</v>
      </c>
      <c r="CK33" s="430">
        <v>0</v>
      </c>
      <c r="CL33" s="430">
        <v>1</v>
      </c>
      <c r="CM33" s="430">
        <v>784844000</v>
      </c>
      <c r="CN33" s="430">
        <v>15402651840</v>
      </c>
      <c r="CO33" s="430">
        <v>3675023</v>
      </c>
      <c r="CP33" s="430">
        <v>147918148</v>
      </c>
      <c r="CQ33" s="430">
        <v>13309737</v>
      </c>
      <c r="CR33" s="430">
        <v>37233245</v>
      </c>
      <c r="CS33" s="430">
        <v>20988716</v>
      </c>
      <c r="CT33" s="430">
        <v>32848318</v>
      </c>
      <c r="CU33" s="430">
        <v>607329</v>
      </c>
      <c r="CV33" s="430">
        <v>1626885</v>
      </c>
      <c r="CW33" s="430" t="s">
        <v>1974</v>
      </c>
      <c r="CX33" s="430" t="s">
        <v>1964</v>
      </c>
      <c r="CY33" s="430">
        <v>0</v>
      </c>
      <c r="CZ33" s="430">
        <v>1</v>
      </c>
      <c r="DA33" s="430">
        <v>0</v>
      </c>
      <c r="DB33" s="430" t="s">
        <v>1975</v>
      </c>
      <c r="DC33" s="430">
        <v>0</v>
      </c>
      <c r="DD33" s="430">
        <v>1</v>
      </c>
      <c r="DE33" s="430">
        <v>791686368</v>
      </c>
      <c r="DF33" s="430">
        <v>15451165720</v>
      </c>
      <c r="DG33" s="430">
        <v>2066585799</v>
      </c>
      <c r="DH33" s="430">
        <v>1008869598</v>
      </c>
      <c r="DI33" s="430">
        <v>84950461</v>
      </c>
      <c r="DJ33" s="430">
        <v>2028128347</v>
      </c>
      <c r="DK33" s="430">
        <v>581175514</v>
      </c>
      <c r="DL33" s="430">
        <v>881890524</v>
      </c>
      <c r="DM33" s="430">
        <v>303985808</v>
      </c>
      <c r="DN33" s="430">
        <v>35085446</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9</v>
      </c>
      <c r="NB33" s="424">
        <f t="shared" si="101"/>
        <v>0</v>
      </c>
      <c r="NC33" s="207">
        <f t="shared" si="102"/>
        <v>9.1998432000000001</v>
      </c>
      <c r="ND33" s="208">
        <f t="shared" si="103"/>
        <v>1.3165531502754309</v>
      </c>
      <c r="NE33" s="209">
        <f t="shared" si="15"/>
        <v>2.4581672277635108E-2</v>
      </c>
      <c r="NF33" s="208">
        <f t="shared" si="16"/>
        <v>1.4679299090662763</v>
      </c>
      <c r="NG33" s="210"/>
      <c r="NH33" s="211">
        <f t="shared" si="104"/>
        <v>8097257722</v>
      </c>
      <c r="NI33" s="208">
        <f t="shared" si="17"/>
        <v>12112082547</v>
      </c>
      <c r="NJ33" s="212">
        <f t="shared" si="105"/>
        <v>0.27105088936923427</v>
      </c>
      <c r="NK33" s="213">
        <f t="shared" si="106"/>
        <v>0.88021779628975971</v>
      </c>
      <c r="NL33" s="214">
        <f t="shared" si="18"/>
        <v>0.66281706424874265</v>
      </c>
      <c r="NM33" s="208">
        <f t="shared" si="107"/>
        <v>0.52544841026978251</v>
      </c>
      <c r="NN33" s="208">
        <f t="shared" si="19"/>
        <v>0.88015170975957502</v>
      </c>
      <c r="NO33" s="215">
        <f t="shared" si="20"/>
        <v>8.1057609235750949E-2</v>
      </c>
      <c r="NP33" s="216" t="str">
        <f t="shared" si="108"/>
        <v/>
      </c>
      <c r="NQ33" s="215" t="str">
        <f t="shared" si="109"/>
        <v/>
      </c>
      <c r="NR33" s="215" t="str">
        <f t="shared" si="110"/>
        <v/>
      </c>
      <c r="NS33" s="215" t="str">
        <f t="shared" si="21"/>
        <v/>
      </c>
      <c r="NT33" s="215" t="str">
        <f t="shared" si="22"/>
        <v/>
      </c>
      <c r="NU33" s="215">
        <f t="shared" si="23"/>
        <v>4.1582637686151305</v>
      </c>
      <c r="NV33" s="215" t="str">
        <f t="shared" si="111"/>
        <v/>
      </c>
      <c r="NW33" s="215" t="str">
        <f t="shared" si="24"/>
        <v/>
      </c>
      <c r="NX33" s="215">
        <f t="shared" si="25"/>
        <v>2.1420871966390131</v>
      </c>
      <c r="NY33" s="215" t="str">
        <f t="shared" si="26"/>
        <v/>
      </c>
      <c r="NZ33" s="215">
        <f t="shared" si="27"/>
        <v>0.35022367881682998</v>
      </c>
      <c r="OA33" s="215">
        <f t="shared" si="28"/>
        <v>0</v>
      </c>
      <c r="OB33" s="215">
        <f t="shared" si="29"/>
        <v>0.23911726523986943</v>
      </c>
      <c r="OC33" s="215">
        <f t="shared" si="30"/>
        <v>0.2025819857070148</v>
      </c>
      <c r="OD33" s="215">
        <f t="shared" si="31"/>
        <v>0.71550956525224452</v>
      </c>
      <c r="OE33" s="215" t="str">
        <f t="shared" si="32"/>
        <v/>
      </c>
      <c r="OF33" s="215" t="str">
        <f t="shared" si="33"/>
        <v/>
      </c>
      <c r="OG33" s="215" t="str">
        <f t="shared" si="34"/>
        <v/>
      </c>
      <c r="OH33" s="215">
        <f t="shared" si="35"/>
        <v>1.3110021304941468</v>
      </c>
      <c r="OI33" s="215">
        <f t="shared" si="112"/>
        <v>9.1998432000000001</v>
      </c>
      <c r="OJ33" s="218">
        <f t="shared" si="113"/>
        <v>0.11584673280702232</v>
      </c>
      <c r="OK33" s="218">
        <f t="shared" si="114"/>
        <v>9.1005918369391273E-2</v>
      </c>
      <c r="OL33" s="218" t="str">
        <f t="shared" si="115"/>
        <v/>
      </c>
      <c r="OM33" s="218" t="str">
        <f t="shared" si="116"/>
        <v/>
      </c>
      <c r="ON33" s="217">
        <f t="shared" si="36"/>
        <v>0.28879578030494052</v>
      </c>
      <c r="OO33" s="210"/>
      <c r="OP33" s="210"/>
      <c r="OQ33" s="218" t="str">
        <f t="shared" si="117"/>
        <v/>
      </c>
      <c r="OR33" s="218" t="str">
        <f t="shared" si="118"/>
        <v/>
      </c>
      <c r="OS33" s="218">
        <f t="shared" si="37"/>
        <v>0.58301463173191315</v>
      </c>
      <c r="OT33" s="218">
        <f t="shared" si="38"/>
        <v>0.76440222753013409</v>
      </c>
      <c r="OU33" s="209" t="str">
        <f t="shared" si="39"/>
        <v/>
      </c>
      <c r="OV33" s="209" t="str">
        <f t="shared" si="40"/>
        <v/>
      </c>
      <c r="OW33" s="209">
        <f t="shared" si="119"/>
        <v>0.10767596853530881</v>
      </c>
      <c r="OX33" s="219" t="str">
        <f t="shared" si="41"/>
        <v/>
      </c>
      <c r="OY33" s="208">
        <f t="shared" si="120"/>
        <v>2609303861</v>
      </c>
      <c r="OZ33" s="208">
        <f t="shared" si="42"/>
        <v>147918148</v>
      </c>
      <c r="PA33" s="209">
        <f t="shared" si="121"/>
        <v>5.6688739939744409E-2</v>
      </c>
      <c r="PB33" s="209">
        <f>IF(OR($CQ33="",$OZ33=""),"",IF($OZ33=0,0,
GuardLimitUpper(
  ($OZ33-$CQ33)/$OZ33,
  data_GuardLimitFlag,
  1)
))</f>
        <v>0.91001958055883714</v>
      </c>
      <c r="PC33" s="209" t="str">
        <f t="shared" si="43"/>
        <v/>
      </c>
      <c r="PD33" s="209" t="str">
        <f t="shared" si="44"/>
        <v/>
      </c>
      <c r="PE33" s="208">
        <f t="shared" si="122"/>
        <v>31283744</v>
      </c>
      <c r="PF33" s="209">
        <f t="shared" si="123"/>
        <v>1.1989306599197953E-2</v>
      </c>
      <c r="PG33" s="209">
        <f t="shared" si="45"/>
        <v>0.553440566448824</v>
      </c>
      <c r="PH33" s="209" t="str">
        <f t="shared" si="46"/>
        <v/>
      </c>
      <c r="PI33" s="209" t="str">
        <f t="shared" si="47"/>
        <v/>
      </c>
      <c r="PJ33" s="220" t="str">
        <f t="shared" si="48"/>
        <v/>
      </c>
      <c r="PK33" s="220" t="str">
        <f t="shared" si="49"/>
        <v/>
      </c>
      <c r="PL33" s="221">
        <f t="shared" si="124"/>
        <v>849042206</v>
      </c>
      <c r="PM33" s="221" t="str">
        <f t="shared" si="50"/>
        <v/>
      </c>
      <c r="PN33" s="221">
        <f t="shared" si="125"/>
        <v>32848318</v>
      </c>
      <c r="PO33" s="221" t="str">
        <f t="shared" si="51"/>
        <v/>
      </c>
      <c r="PP33" s="221" t="str">
        <f t="shared" si="52"/>
        <v/>
      </c>
      <c r="PQ33" s="529" t="str">
        <f t="shared" si="126"/>
        <v/>
      </c>
      <c r="PR33" s="221" t="str">
        <f t="shared" si="53"/>
        <v/>
      </c>
      <c r="PS33" s="221">
        <f t="shared" si="54"/>
        <v>1146237823</v>
      </c>
      <c r="PT33" s="221">
        <f t="shared" si="127"/>
        <v>303378479</v>
      </c>
      <c r="PU33" s="221" t="str">
        <f t="shared" si="55"/>
        <v/>
      </c>
      <c r="PV33" s="221">
        <f t="shared" si="128"/>
        <v>607329</v>
      </c>
      <c r="PW33" s="221" t="str">
        <f t="shared" si="56"/>
        <v/>
      </c>
      <c r="PX33" s="221" t="str">
        <f t="shared" si="162"/>
        <v/>
      </c>
      <c r="PY33" s="221">
        <f t="shared" si="57"/>
        <v>277189706</v>
      </c>
      <c r="PZ33" s="221" t="str">
        <f t="shared" si="58"/>
        <v/>
      </c>
      <c r="QA33" s="221" t="str">
        <f t="shared" si="59"/>
        <v/>
      </c>
      <c r="QB33" s="221" t="str">
        <f t="shared" si="60"/>
        <v/>
      </c>
      <c r="QC33" s="221" t="str">
        <f t="shared" si="61"/>
        <v/>
      </c>
      <c r="QD33" s="221">
        <f t="shared" si="129"/>
        <v>972765740</v>
      </c>
      <c r="QE33" s="221">
        <f t="shared" si="130"/>
        <v>1008869598</v>
      </c>
      <c r="QF33" s="221">
        <f t="shared" si="131"/>
        <v>84950461</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3421368062</v>
      </c>
      <c r="QN33" s="222">
        <f t="shared" si="133"/>
        <v>8097257722</v>
      </c>
      <c r="QO33" s="222" t="str">
        <f t="shared" si="134"/>
        <v/>
      </c>
      <c r="QP33" s="222" t="str">
        <f t="shared" si="135"/>
        <v/>
      </c>
      <c r="QQ33" s="222" t="str">
        <f t="shared" si="136"/>
        <v/>
      </c>
      <c r="QR33" s="222">
        <f t="shared" si="67"/>
        <v>0.87263389399299474</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9.1998432000000001</v>
      </c>
      <c r="RV33" s="208">
        <f t="shared" si="139"/>
        <v>1</v>
      </c>
      <c r="RW33" s="208">
        <f t="shared" si="140"/>
        <v>0.99325760207077951</v>
      </c>
      <c r="RX33" s="208">
        <f t="shared" si="141"/>
        <v>1.0139734504413711</v>
      </c>
      <c r="RY33" s="208">
        <f t="shared" si="142"/>
        <v>0.99951109389512161</v>
      </c>
      <c r="RZ33" s="208">
        <f t="shared" si="85"/>
        <v>1.0026592635591252</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1</v>
      </c>
      <c r="SN33" s="225">
        <f t="shared" si="98"/>
        <v>9.1998432000000001</v>
      </c>
      <c r="SO33" s="209">
        <f t="shared" si="144"/>
        <v>0.97775932540066524</v>
      </c>
      <c r="SP33" s="209">
        <f t="shared" si="145"/>
        <v>0.48323128162022044</v>
      </c>
      <c r="SQ33" s="222">
        <f t="shared" si="146"/>
        <v>15410185974</v>
      </c>
      <c r="SR33" s="222">
        <f t="shared" si="147"/>
        <v>15306284368</v>
      </c>
      <c r="SS33" s="222">
        <f t="shared" si="148"/>
        <v>15625519444</v>
      </c>
      <c r="ST33" s="222">
        <f t="shared" si="149"/>
        <v>15402651840</v>
      </c>
      <c r="SU33" s="222">
        <f t="shared" si="150"/>
        <v>15451165720</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9</v>
      </c>
      <c r="AG34" s="430">
        <v>1</v>
      </c>
      <c r="AH34" s="430" t="s">
        <v>1975</v>
      </c>
      <c r="AI34" s="430">
        <v>0</v>
      </c>
      <c r="AJ34" s="430">
        <v>1</v>
      </c>
      <c r="AK34" s="594">
        <v>806855488</v>
      </c>
      <c r="AL34" s="594">
        <v>13633656031</v>
      </c>
      <c r="AM34" s="430">
        <v>1505295664</v>
      </c>
      <c r="AN34" s="430">
        <v>518592291</v>
      </c>
      <c r="AO34" s="430">
        <v>10553140</v>
      </c>
      <c r="AP34" s="430">
        <v>7002371</v>
      </c>
      <c r="AQ34" s="595">
        <v>650542</v>
      </c>
      <c r="AR34" s="595">
        <v>178331</v>
      </c>
      <c r="AS34" s="594">
        <v>16512089086</v>
      </c>
      <c r="AT34" s="594">
        <v>1221352545</v>
      </c>
      <c r="AU34" s="430" t="s">
        <v>1974</v>
      </c>
      <c r="AV34" s="430" t="s">
        <v>1964</v>
      </c>
      <c r="AW34" s="430">
        <v>0</v>
      </c>
      <c r="AX34" s="430">
        <v>1</v>
      </c>
      <c r="AY34" s="430">
        <v>1</v>
      </c>
      <c r="AZ34" s="430" t="s">
        <v>1975</v>
      </c>
      <c r="BA34" s="430">
        <v>0</v>
      </c>
      <c r="BB34" s="430">
        <v>1</v>
      </c>
      <c r="BC34" s="430">
        <v>699202688</v>
      </c>
      <c r="BD34" s="430">
        <v>13563452416</v>
      </c>
      <c r="BE34" s="430">
        <v>7345170911</v>
      </c>
      <c r="BF34" s="595">
        <v>2215937000</v>
      </c>
      <c r="BG34" s="430">
        <v>3193080958</v>
      </c>
      <c r="BH34" s="595">
        <v>131558125</v>
      </c>
      <c r="BI34" s="430">
        <v>2600880890</v>
      </c>
      <c r="BJ34" s="430">
        <v>659517872</v>
      </c>
      <c r="BK34" s="430">
        <v>0</v>
      </c>
      <c r="BL34" s="430">
        <v>1409440</v>
      </c>
      <c r="BM34" s="430" t="s">
        <v>1974</v>
      </c>
      <c r="BN34" s="430" t="s">
        <v>1964</v>
      </c>
      <c r="BO34" s="430">
        <v>0</v>
      </c>
      <c r="BP34" s="430">
        <v>5</v>
      </c>
      <c r="BQ34" s="430">
        <v>1</v>
      </c>
      <c r="BR34" s="430" t="s">
        <v>1975</v>
      </c>
      <c r="BS34" s="430">
        <v>0</v>
      </c>
      <c r="BT34" s="430">
        <v>1</v>
      </c>
      <c r="BU34" s="430">
        <v>692718176</v>
      </c>
      <c r="BV34" s="430">
        <v>13443607622</v>
      </c>
      <c r="BW34" s="594">
        <v>3660536574</v>
      </c>
      <c r="BX34" s="594">
        <v>3716563269</v>
      </c>
      <c r="BY34" s="430">
        <v>2353498053</v>
      </c>
      <c r="BZ34" s="430">
        <v>365984968</v>
      </c>
      <c r="CA34" s="430">
        <v>832165764</v>
      </c>
      <c r="CB34" s="430">
        <v>7075677758</v>
      </c>
      <c r="CC34" s="430">
        <v>661285432</v>
      </c>
      <c r="CD34" s="430">
        <v>7608796070</v>
      </c>
      <c r="CE34" s="430" t="s">
        <v>1974</v>
      </c>
      <c r="CF34" s="430" t="s">
        <v>1964</v>
      </c>
      <c r="CG34" s="430">
        <v>0</v>
      </c>
      <c r="CH34" s="430">
        <v>5</v>
      </c>
      <c r="CI34" s="430">
        <v>1</v>
      </c>
      <c r="CJ34" s="430" t="s">
        <v>1975</v>
      </c>
      <c r="CK34" s="430">
        <v>0</v>
      </c>
      <c r="CL34" s="430">
        <v>1</v>
      </c>
      <c r="CM34" s="430">
        <v>690730048</v>
      </c>
      <c r="CN34" s="430">
        <v>13382503839</v>
      </c>
      <c r="CO34" s="430">
        <v>684510</v>
      </c>
      <c r="CP34" s="430">
        <v>32252719</v>
      </c>
      <c r="CQ34" s="430">
        <v>7815887</v>
      </c>
      <c r="CR34" s="430">
        <v>10575603</v>
      </c>
      <c r="CS34" s="430">
        <v>3909892</v>
      </c>
      <c r="CT34" s="430">
        <v>16238752</v>
      </c>
      <c r="CU34" s="430">
        <v>97350</v>
      </c>
      <c r="CV34" s="430">
        <v>189238</v>
      </c>
      <c r="CW34" s="430" t="s">
        <v>1974</v>
      </c>
      <c r="CX34" s="430" t="s">
        <v>1964</v>
      </c>
      <c r="CY34" s="430">
        <v>0</v>
      </c>
      <c r="CZ34" s="430">
        <v>1</v>
      </c>
      <c r="DA34" s="430">
        <v>1</v>
      </c>
      <c r="DB34" s="430" t="s">
        <v>1975</v>
      </c>
      <c r="DC34" s="430">
        <v>0</v>
      </c>
      <c r="DD34" s="430">
        <v>1</v>
      </c>
      <c r="DE34" s="430">
        <v>688420512</v>
      </c>
      <c r="DF34" s="430">
        <v>13320083485</v>
      </c>
      <c r="DG34" s="430">
        <v>939761491</v>
      </c>
      <c r="DH34" s="430">
        <v>481114146</v>
      </c>
      <c r="DI34" s="430">
        <v>34969510</v>
      </c>
      <c r="DJ34" s="430">
        <v>4077377881</v>
      </c>
      <c r="DK34" s="430">
        <v>558397926</v>
      </c>
      <c r="DL34" s="430">
        <v>439504959</v>
      </c>
      <c r="DM34" s="430">
        <v>144480631</v>
      </c>
      <c r="DN34" s="430">
        <v>13391456</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9</v>
      </c>
      <c r="NB34" s="424">
        <f t="shared" si="101"/>
        <v>1</v>
      </c>
      <c r="NC34" s="207">
        <f t="shared" si="102"/>
        <v>8.0685548800000007</v>
      </c>
      <c r="ND34" s="208">
        <f t="shared" si="103"/>
        <v>0.81052617776827951</v>
      </c>
      <c r="NE34" s="209">
        <f t="shared" si="15"/>
        <v>1.5133524134726975E-2</v>
      </c>
      <c r="NF34" s="208">
        <f t="shared" si="16"/>
        <v>0.53070461708255734</v>
      </c>
      <c r="NG34" s="210"/>
      <c r="NH34" s="211">
        <f t="shared" si="104"/>
        <v>16512089086</v>
      </c>
      <c r="NI34" s="208">
        <f t="shared" si="17"/>
        <v>6539774947</v>
      </c>
      <c r="NJ34" s="212">
        <f t="shared" si="105"/>
        <v>7.3967172696248376E-2</v>
      </c>
      <c r="NK34" s="213">
        <f t="shared" si="106"/>
        <v>0.92070181386931449</v>
      </c>
      <c r="NL34" s="214">
        <f t="shared" si="18"/>
        <v>0.6145360603065867</v>
      </c>
      <c r="NM34" s="208">
        <f t="shared" si="107"/>
        <v>1.211127011599461</v>
      </c>
      <c r="NN34" s="208">
        <f t="shared" si="19"/>
        <v>2.0464741619257598</v>
      </c>
      <c r="NO34" s="215">
        <f t="shared" si="20"/>
        <v>7.826060201458962E-2</v>
      </c>
      <c r="NP34" s="216" t="str">
        <f t="shared" si="108"/>
        <v/>
      </c>
      <c r="NQ34" s="215" t="str">
        <f t="shared" si="109"/>
        <v/>
      </c>
      <c r="NR34" s="215" t="str">
        <f t="shared" si="110"/>
        <v/>
      </c>
      <c r="NS34" s="215" t="str">
        <f t="shared" si="21"/>
        <v/>
      </c>
      <c r="NT34" s="215" t="str">
        <f t="shared" si="22"/>
        <v/>
      </c>
      <c r="NU34" s="215">
        <f t="shared" si="23"/>
        <v>1.8212225204029924</v>
      </c>
      <c r="NV34" s="215" t="str">
        <f t="shared" si="111"/>
        <v/>
      </c>
      <c r="NW34" s="215" t="str">
        <f t="shared" si="24"/>
        <v/>
      </c>
      <c r="NX34" s="215">
        <f t="shared" si="25"/>
        <v>1.5471982761964846</v>
      </c>
      <c r="NY34" s="215" t="str">
        <f t="shared" si="26"/>
        <v/>
      </c>
      <c r="NZ34" s="215">
        <f t="shared" si="27"/>
        <v>0.53044454243146455</v>
      </c>
      <c r="OA34" s="215">
        <f t="shared" si="28"/>
        <v>0</v>
      </c>
      <c r="OB34" s="215">
        <f t="shared" si="29"/>
        <v>0.39149206542125481</v>
      </c>
      <c r="OC34" s="215">
        <f t="shared" si="30"/>
        <v>8.3844021723054505E-4</v>
      </c>
      <c r="OD34" s="215">
        <f t="shared" si="31"/>
        <v>1.3182048896364529</v>
      </c>
      <c r="OE34" s="215" t="str">
        <f t="shared" si="32"/>
        <v/>
      </c>
      <c r="OF34" s="215" t="str">
        <f t="shared" si="33"/>
        <v/>
      </c>
      <c r="OG34" s="215" t="str">
        <f t="shared" si="34"/>
        <v/>
      </c>
      <c r="OH34" s="215">
        <f t="shared" si="35"/>
        <v>2.3808935436795311</v>
      </c>
      <c r="OI34" s="215">
        <f t="shared" si="112"/>
        <v>8.0685548800000007</v>
      </c>
      <c r="OJ34" s="218">
        <f t="shared" si="113"/>
        <v>6.1900479945441837E-2</v>
      </c>
      <c r="OK34" s="218">
        <f t="shared" si="114"/>
        <v>4.9189581442248373E-2</v>
      </c>
      <c r="OL34" s="218" t="str">
        <f t="shared" si="115"/>
        <v/>
      </c>
      <c r="OM34" s="218" t="str">
        <f t="shared" si="116"/>
        <v/>
      </c>
      <c r="ON34" s="217">
        <f t="shared" si="36"/>
        <v>0.27437203057487453</v>
      </c>
      <c r="OO34" s="210"/>
      <c r="OP34" s="210"/>
      <c r="OQ34" s="218" t="str">
        <f t="shared" si="117"/>
        <v/>
      </c>
      <c r="OR34" s="218" t="str">
        <f t="shared" si="118"/>
        <v/>
      </c>
      <c r="OS34" s="218">
        <f t="shared" si="37"/>
        <v>0.53142039603902758</v>
      </c>
      <c r="OT34" s="218">
        <f t="shared" si="38"/>
        <v>0.71912933714075833</v>
      </c>
      <c r="OU34" s="209" t="str">
        <f t="shared" si="39"/>
        <v/>
      </c>
      <c r="OV34" s="209" t="str">
        <f t="shared" si="40"/>
        <v/>
      </c>
      <c r="OW34" s="209">
        <f t="shared" si="119"/>
        <v>2.7223716898809085E-2</v>
      </c>
      <c r="OX34" s="219" t="str">
        <f t="shared" si="41"/>
        <v/>
      </c>
      <c r="OY34" s="208">
        <f t="shared" si="120"/>
        <v>4635775807</v>
      </c>
      <c r="OZ34" s="208">
        <f t="shared" si="42"/>
        <v>32252719</v>
      </c>
      <c r="PA34" s="209">
        <f t="shared" si="121"/>
        <v>6.9573509036607297E-3</v>
      </c>
      <c r="PB34" s="209">
        <f>IF(OR($CQ34="",$OZ34=""),"",IF($OZ34=0,0,
GuardLimitUpper(
  ($OZ34-$CQ34)/$OZ34,
  data_GuardLimitFlag,
  1)
))</f>
        <v>0.75766734581354211</v>
      </c>
      <c r="PC34" s="209" t="str">
        <f t="shared" si="43"/>
        <v/>
      </c>
      <c r="PD34" s="209" t="str">
        <f t="shared" si="44"/>
        <v/>
      </c>
      <c r="PE34" s="208">
        <f t="shared" si="122"/>
        <v>9724267</v>
      </c>
      <c r="PF34" s="209">
        <f t="shared" si="123"/>
        <v>2.0976568766152156E-3</v>
      </c>
      <c r="PG34" s="209">
        <f t="shared" si="45"/>
        <v>0.33168381740238106</v>
      </c>
      <c r="PH34" s="209" t="str">
        <f t="shared" si="46"/>
        <v/>
      </c>
      <c r="PI34" s="209" t="str">
        <f t="shared" si="47"/>
        <v/>
      </c>
      <c r="PJ34" s="220" t="str">
        <f t="shared" si="48"/>
        <v/>
      </c>
      <c r="PK34" s="220" t="str">
        <f t="shared" si="49"/>
        <v/>
      </c>
      <c r="PL34" s="221">
        <f t="shared" si="124"/>
        <v>423266207</v>
      </c>
      <c r="PM34" s="221" t="str">
        <f t="shared" si="50"/>
        <v/>
      </c>
      <c r="PN34" s="221">
        <f t="shared" si="125"/>
        <v>16238752</v>
      </c>
      <c r="PO34" s="221" t="str">
        <f t="shared" si="51"/>
        <v/>
      </c>
      <c r="PP34" s="221" t="str">
        <f t="shared" si="52"/>
        <v/>
      </c>
      <c r="PQ34" s="529" t="str">
        <f t="shared" si="126"/>
        <v/>
      </c>
      <c r="PR34" s="221" t="str">
        <f t="shared" si="53"/>
        <v/>
      </c>
      <c r="PS34" s="221">
        <f t="shared" si="54"/>
        <v>3637872922</v>
      </c>
      <c r="PT34" s="221">
        <f t="shared" si="127"/>
        <v>144383281</v>
      </c>
      <c r="PU34" s="221" t="str">
        <f t="shared" si="55"/>
        <v/>
      </c>
      <c r="PV34" s="221">
        <f t="shared" si="128"/>
        <v>97350</v>
      </c>
      <c r="PW34" s="221" t="str">
        <f t="shared" si="56"/>
        <v/>
      </c>
      <c r="PX34" s="221" t="str">
        <f t="shared" si="162"/>
        <v/>
      </c>
      <c r="PY34" s="221">
        <f t="shared" si="57"/>
        <v>413917295</v>
      </c>
      <c r="PZ34" s="221" t="str">
        <f t="shared" si="58"/>
        <v/>
      </c>
      <c r="QA34" s="221" t="str">
        <f t="shared" si="59"/>
        <v/>
      </c>
      <c r="QB34" s="221" t="str">
        <f t="shared" si="60"/>
        <v/>
      </c>
      <c r="QC34" s="221" t="str">
        <f t="shared" si="61"/>
        <v/>
      </c>
      <c r="QD34" s="221">
        <f t="shared" si="129"/>
        <v>423677835</v>
      </c>
      <c r="QE34" s="221">
        <f t="shared" si="130"/>
        <v>481114146</v>
      </c>
      <c r="QF34" s="221">
        <f t="shared" si="131"/>
        <v>34969510</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10936551788</v>
      </c>
      <c r="QN34" s="222">
        <f t="shared" si="133"/>
        <v>16512089086</v>
      </c>
      <c r="QO34" s="222" t="str">
        <f t="shared" si="134"/>
        <v/>
      </c>
      <c r="QP34" s="222" t="str">
        <f t="shared" si="135"/>
        <v/>
      </c>
      <c r="QQ34" s="222" t="str">
        <f t="shared" si="136"/>
        <v/>
      </c>
      <c r="QR34" s="222">
        <f t="shared" si="67"/>
        <v>0.49809756406107469</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8.0685548800000007</v>
      </c>
      <c r="RV34" s="208">
        <f t="shared" si="139"/>
        <v>1</v>
      </c>
      <c r="RW34" s="208">
        <f t="shared" si="140"/>
        <v>0.99485071246917389</v>
      </c>
      <c r="RX34" s="208">
        <f t="shared" si="141"/>
        <v>0.98606034884789007</v>
      </c>
      <c r="RY34" s="208">
        <f t="shared" si="142"/>
        <v>0.98157851485845515</v>
      </c>
      <c r="RZ34" s="208">
        <f t="shared" si="85"/>
        <v>0.97700011315475443</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1</v>
      </c>
      <c r="SN34" s="225">
        <f t="shared" si="98"/>
        <v>8.0685548800000007</v>
      </c>
      <c r="SO34" s="209">
        <f t="shared" si="144"/>
        <v>0.87674291051532272</v>
      </c>
      <c r="SP34" s="209">
        <f t="shared" si="145"/>
        <v>0.9854148460133495</v>
      </c>
      <c r="SQ34" s="222">
        <f t="shared" si="146"/>
        <v>13633656031</v>
      </c>
      <c r="SR34" s="222">
        <f t="shared" si="147"/>
        <v>13563452416</v>
      </c>
      <c r="SS34" s="222">
        <f t="shared" si="148"/>
        <v>13443607622</v>
      </c>
      <c r="ST34" s="222">
        <f t="shared" si="149"/>
        <v>13382503839</v>
      </c>
      <c r="SU34" s="222">
        <f t="shared" si="150"/>
        <v>13320083485</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9</v>
      </c>
      <c r="AG35" s="430">
        <v>2</v>
      </c>
      <c r="AH35" s="430" t="s">
        <v>1975</v>
      </c>
      <c r="AI35" s="430">
        <v>0</v>
      </c>
      <c r="AJ35" s="430">
        <v>1</v>
      </c>
      <c r="AK35" s="594">
        <v>806805408</v>
      </c>
      <c r="AL35" s="594">
        <v>13633366495</v>
      </c>
      <c r="AM35" s="430">
        <v>1504776898</v>
      </c>
      <c r="AN35" s="430">
        <v>517712159</v>
      </c>
      <c r="AO35" s="430">
        <v>11237858</v>
      </c>
      <c r="AP35" s="430">
        <v>7317507</v>
      </c>
      <c r="AQ35" s="595">
        <v>675623</v>
      </c>
      <c r="AR35" s="595">
        <v>200272</v>
      </c>
      <c r="AS35" s="594">
        <v>16652713709</v>
      </c>
      <c r="AT35" s="594">
        <v>1220668626</v>
      </c>
      <c r="AU35" s="430" t="s">
        <v>1974</v>
      </c>
      <c r="AV35" s="430" t="s">
        <v>1964</v>
      </c>
      <c r="AW35" s="430">
        <v>0</v>
      </c>
      <c r="AX35" s="430">
        <v>1</v>
      </c>
      <c r="AY35" s="430">
        <v>2</v>
      </c>
      <c r="AZ35" s="430" t="s">
        <v>1975</v>
      </c>
      <c r="BA35" s="430">
        <v>0</v>
      </c>
      <c r="BB35" s="430">
        <v>1</v>
      </c>
      <c r="BC35" s="430">
        <v>699185888</v>
      </c>
      <c r="BD35" s="430">
        <v>13563122401</v>
      </c>
      <c r="BE35" s="430">
        <v>7344887295</v>
      </c>
      <c r="BF35" s="595">
        <v>2212950396</v>
      </c>
      <c r="BG35" s="430">
        <v>3193859106</v>
      </c>
      <c r="BH35" s="595">
        <v>133213694</v>
      </c>
      <c r="BI35" s="430">
        <v>2604132409</v>
      </c>
      <c r="BJ35" s="430">
        <v>657787675</v>
      </c>
      <c r="BK35" s="430">
        <v>0</v>
      </c>
      <c r="BL35" s="430">
        <v>1625983</v>
      </c>
      <c r="BM35" s="430" t="s">
        <v>1974</v>
      </c>
      <c r="BN35" s="430" t="s">
        <v>1964</v>
      </c>
      <c r="BO35" s="430">
        <v>0</v>
      </c>
      <c r="BP35" s="430">
        <v>5</v>
      </c>
      <c r="BQ35" s="430">
        <v>2</v>
      </c>
      <c r="BR35" s="430" t="s">
        <v>1975</v>
      </c>
      <c r="BS35" s="430">
        <v>0</v>
      </c>
      <c r="BT35" s="430">
        <v>1</v>
      </c>
      <c r="BU35" s="430">
        <v>692666688</v>
      </c>
      <c r="BV35" s="430">
        <v>13443838484</v>
      </c>
      <c r="BW35" s="594">
        <v>3655011382</v>
      </c>
      <c r="BX35" s="594">
        <v>3727558705</v>
      </c>
      <c r="BY35" s="430">
        <v>2353083713</v>
      </c>
      <c r="BZ35" s="430">
        <v>358465875</v>
      </c>
      <c r="CA35" s="430">
        <v>832392058</v>
      </c>
      <c r="CB35" s="430">
        <v>7061716252</v>
      </c>
      <c r="CC35" s="430">
        <v>660020785</v>
      </c>
      <c r="CD35" s="430">
        <v>7590969608</v>
      </c>
      <c r="CE35" s="430" t="s">
        <v>1974</v>
      </c>
      <c r="CF35" s="430" t="s">
        <v>1964</v>
      </c>
      <c r="CG35" s="430">
        <v>0</v>
      </c>
      <c r="CH35" s="430">
        <v>5</v>
      </c>
      <c r="CI35" s="430">
        <v>2</v>
      </c>
      <c r="CJ35" s="430" t="s">
        <v>1975</v>
      </c>
      <c r="CK35" s="430">
        <v>0</v>
      </c>
      <c r="CL35" s="430">
        <v>1</v>
      </c>
      <c r="CM35" s="430">
        <v>690604896</v>
      </c>
      <c r="CN35" s="430">
        <v>13379252124</v>
      </c>
      <c r="CO35" s="430">
        <v>664208</v>
      </c>
      <c r="CP35" s="430">
        <v>31532103</v>
      </c>
      <c r="CQ35" s="430">
        <v>7563142</v>
      </c>
      <c r="CR35" s="430">
        <v>11169999</v>
      </c>
      <c r="CS35" s="430">
        <v>4212031</v>
      </c>
      <c r="CT35" s="430">
        <v>16235480</v>
      </c>
      <c r="CU35" s="430">
        <v>95832</v>
      </c>
      <c r="CV35" s="430">
        <v>205736</v>
      </c>
      <c r="CW35" s="430" t="s">
        <v>1974</v>
      </c>
      <c r="CX35" s="430" t="s">
        <v>1964</v>
      </c>
      <c r="CY35" s="430">
        <v>0</v>
      </c>
      <c r="CZ35" s="430">
        <v>1</v>
      </c>
      <c r="DA35" s="430">
        <v>2</v>
      </c>
      <c r="DB35" s="430" t="s">
        <v>1975</v>
      </c>
      <c r="DC35" s="430">
        <v>0</v>
      </c>
      <c r="DD35" s="430">
        <v>1</v>
      </c>
      <c r="DE35" s="430">
        <v>688375104</v>
      </c>
      <c r="DF35" s="430">
        <v>13319463748</v>
      </c>
      <c r="DG35" s="430">
        <v>938816595</v>
      </c>
      <c r="DH35" s="430">
        <v>480894977</v>
      </c>
      <c r="DI35" s="430">
        <v>34958988</v>
      </c>
      <c r="DJ35" s="430">
        <v>4078472045</v>
      </c>
      <c r="DK35" s="430">
        <v>558312443</v>
      </c>
      <c r="DL35" s="430">
        <v>438993250</v>
      </c>
      <c r="DM35" s="430">
        <v>144347302</v>
      </c>
      <c r="DN35" s="430">
        <v>13370354</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9</v>
      </c>
      <c r="NB35" s="424">
        <f t="shared" si="101"/>
        <v>2</v>
      </c>
      <c r="NC35" s="207">
        <f t="shared" si="102"/>
        <v>8.0680540799999996</v>
      </c>
      <c r="ND35" s="208">
        <f t="shared" si="103"/>
        <v>0.81021020511057362</v>
      </c>
      <c r="NE35" s="209">
        <f t="shared" si="15"/>
        <v>1.5127624535216849E-2</v>
      </c>
      <c r="NF35" s="208">
        <f t="shared" si="16"/>
        <v>0.56097099438381559</v>
      </c>
      <c r="NG35" s="210"/>
      <c r="NH35" s="211">
        <f t="shared" si="104"/>
        <v>16652713709</v>
      </c>
      <c r="NI35" s="208">
        <f t="shared" si="17"/>
        <v>6536819751</v>
      </c>
      <c r="NJ35" s="212">
        <f t="shared" si="105"/>
        <v>7.3301483910114096E-2</v>
      </c>
      <c r="NK35" s="213">
        <f t="shared" si="106"/>
        <v>0.92080060660678298</v>
      </c>
      <c r="NL35" s="214">
        <f t="shared" si="18"/>
        <v>0.61363239437761929</v>
      </c>
      <c r="NM35" s="208">
        <f t="shared" si="107"/>
        <v>1.2214674721102332</v>
      </c>
      <c r="NN35" s="208">
        <f t="shared" si="19"/>
        <v>2.0640309972984219</v>
      </c>
      <c r="NO35" s="215">
        <f t="shared" si="20"/>
        <v>7.9242467597972044E-2</v>
      </c>
      <c r="NP35" s="216" t="str">
        <f t="shared" si="108"/>
        <v/>
      </c>
      <c r="NQ35" s="215" t="str">
        <f t="shared" si="109"/>
        <v/>
      </c>
      <c r="NR35" s="215" t="str">
        <f t="shared" si="110"/>
        <v/>
      </c>
      <c r="NS35" s="215" t="str">
        <f t="shared" si="21"/>
        <v/>
      </c>
      <c r="NT35" s="215" t="str">
        <f t="shared" si="22"/>
        <v/>
      </c>
      <c r="NU35" s="215">
        <f t="shared" si="23"/>
        <v>1.820631855530497</v>
      </c>
      <c r="NV35" s="215" t="str">
        <f t="shared" si="111"/>
        <v/>
      </c>
      <c r="NW35" s="215" t="str">
        <f t="shared" si="24"/>
        <v/>
      </c>
      <c r="NX35" s="215">
        <f t="shared" si="25"/>
        <v>1.5490740617177945</v>
      </c>
      <c r="NY35" s="215" t="str">
        <f t="shared" si="26"/>
        <v/>
      </c>
      <c r="NZ35" s="215">
        <f t="shared" si="27"/>
        <v>0.52888797004275578</v>
      </c>
      <c r="OA35" s="215">
        <f t="shared" si="28"/>
        <v>0</v>
      </c>
      <c r="OB35" s="215">
        <f t="shared" si="29"/>
        <v>0.39031926865822458</v>
      </c>
      <c r="OC35" s="215">
        <f t="shared" si="30"/>
        <v>9.6721967031672732E-4</v>
      </c>
      <c r="OD35" s="215">
        <f t="shared" si="31"/>
        <v>1.3163785552778788</v>
      </c>
      <c r="OE35" s="215" t="str">
        <f t="shared" si="32"/>
        <v/>
      </c>
      <c r="OF35" s="215" t="str">
        <f t="shared" si="33"/>
        <v/>
      </c>
      <c r="OG35" s="215" t="str">
        <f t="shared" si="34"/>
        <v/>
      </c>
      <c r="OH35" s="215">
        <f t="shared" si="35"/>
        <v>2.3825526815045599</v>
      </c>
      <c r="OI35" s="215">
        <f t="shared" si="112"/>
        <v>8.0680540799999996</v>
      </c>
      <c r="OJ35" s="218">
        <f t="shared" si="113"/>
        <v>6.1916249513906313E-2</v>
      </c>
      <c r="OK35" s="218">
        <f t="shared" si="114"/>
        <v>4.9094667849923571E-2</v>
      </c>
      <c r="OL35" s="218" t="str">
        <f t="shared" si="115"/>
        <v/>
      </c>
      <c r="OM35" s="218" t="str">
        <f t="shared" si="116"/>
        <v/>
      </c>
      <c r="ON35" s="217">
        <f t="shared" si="36"/>
        <v>0.27457076696459365</v>
      </c>
      <c r="OO35" s="210"/>
      <c r="OP35" s="210"/>
      <c r="OQ35" s="218" t="str">
        <f t="shared" si="117"/>
        <v/>
      </c>
      <c r="OR35" s="218" t="str">
        <f t="shared" si="118"/>
        <v/>
      </c>
      <c r="OS35" s="218">
        <f t="shared" si="37"/>
        <v>0.53022762712375615</v>
      </c>
      <c r="OT35" s="218">
        <f t="shared" si="38"/>
        <v>0.71881918158077396</v>
      </c>
      <c r="OU35" s="209" t="str">
        <f t="shared" si="39"/>
        <v/>
      </c>
      <c r="OV35" s="209" t="str">
        <f t="shared" si="40"/>
        <v/>
      </c>
      <c r="OW35" s="209">
        <f t="shared" si="119"/>
        <v>2.6663952815754462E-2</v>
      </c>
      <c r="OX35" s="219" t="str">
        <f t="shared" si="41"/>
        <v/>
      </c>
      <c r="OY35" s="208">
        <f t="shared" si="120"/>
        <v>4636784488</v>
      </c>
      <c r="OZ35" s="208">
        <f t="shared" si="42"/>
        <v>31532103</v>
      </c>
      <c r="PA35" s="209">
        <f t="shared" si="121"/>
        <v>6.8004245359268032E-3</v>
      </c>
      <c r="PB35" s="209">
        <f>IF(OR($CQ35="",$OZ35=""),"",IF($OZ35=0,0,
GuardLimitUpper(
  ($OZ35-$CQ35)/$OZ35,
  data_GuardLimitFlag,
  1)
))</f>
        <v>0.76014470078319862</v>
      </c>
      <c r="PC35" s="209" t="str">
        <f t="shared" si="43"/>
        <v/>
      </c>
      <c r="PD35" s="209" t="str">
        <f t="shared" si="44"/>
        <v/>
      </c>
      <c r="PE35" s="208">
        <f t="shared" si="122"/>
        <v>10361963</v>
      </c>
      <c r="PF35" s="209">
        <f t="shared" si="123"/>
        <v>2.2347303453107998E-3</v>
      </c>
      <c r="PG35" s="209">
        <f t="shared" si="45"/>
        <v>0.34238908206871616</v>
      </c>
      <c r="PH35" s="209" t="str">
        <f t="shared" si="46"/>
        <v/>
      </c>
      <c r="PI35" s="209" t="str">
        <f t="shared" si="47"/>
        <v/>
      </c>
      <c r="PJ35" s="220" t="str">
        <f t="shared" si="48"/>
        <v/>
      </c>
      <c r="PK35" s="220" t="str">
        <f t="shared" si="49"/>
        <v/>
      </c>
      <c r="PL35" s="221">
        <f t="shared" si="124"/>
        <v>422757770</v>
      </c>
      <c r="PM35" s="221" t="str">
        <f t="shared" si="50"/>
        <v/>
      </c>
      <c r="PN35" s="221">
        <f t="shared" si="125"/>
        <v>16235480</v>
      </c>
      <c r="PO35" s="221" t="str">
        <f t="shared" si="51"/>
        <v/>
      </c>
      <c r="PP35" s="221" t="str">
        <f t="shared" si="52"/>
        <v/>
      </c>
      <c r="PQ35" s="529" t="str">
        <f t="shared" si="126"/>
        <v/>
      </c>
      <c r="PR35" s="221" t="str">
        <f t="shared" si="53"/>
        <v/>
      </c>
      <c r="PS35" s="221">
        <f t="shared" si="54"/>
        <v>3639478795</v>
      </c>
      <c r="PT35" s="221">
        <f t="shared" si="127"/>
        <v>144251470</v>
      </c>
      <c r="PU35" s="221" t="str">
        <f t="shared" si="55"/>
        <v/>
      </c>
      <c r="PV35" s="221">
        <f t="shared" si="128"/>
        <v>95832</v>
      </c>
      <c r="PW35" s="221" t="str">
        <f t="shared" si="56"/>
        <v/>
      </c>
      <c r="PX35" s="221" t="str">
        <f t="shared" si="162"/>
        <v/>
      </c>
      <c r="PY35" s="221">
        <f t="shared" si="57"/>
        <v>413965141</v>
      </c>
      <c r="PZ35" s="221" t="str">
        <f t="shared" si="58"/>
        <v/>
      </c>
      <c r="QA35" s="221" t="str">
        <f t="shared" si="59"/>
        <v/>
      </c>
      <c r="QB35" s="221" t="str">
        <f t="shared" si="60"/>
        <v/>
      </c>
      <c r="QC35" s="221" t="str">
        <f t="shared" si="61"/>
        <v/>
      </c>
      <c r="QD35" s="221">
        <f t="shared" si="129"/>
        <v>422962630</v>
      </c>
      <c r="QE35" s="221">
        <f t="shared" si="130"/>
        <v>480894977</v>
      </c>
      <c r="QF35" s="221">
        <f t="shared" si="131"/>
        <v>34958988</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11077112626</v>
      </c>
      <c r="QN35" s="222">
        <f t="shared" si="133"/>
        <v>16652713709</v>
      </c>
      <c r="QO35" s="222" t="str">
        <f t="shared" si="134"/>
        <v/>
      </c>
      <c r="QP35" s="222" t="str">
        <f t="shared" si="135"/>
        <v/>
      </c>
      <c r="QQ35" s="222" t="str">
        <f t="shared" si="136"/>
        <v/>
      </c>
      <c r="QR35" s="222">
        <f t="shared" si="67"/>
        <v>0.49717122811118331</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8.0680540799999996</v>
      </c>
      <c r="RV35" s="208">
        <f t="shared" si="139"/>
        <v>1</v>
      </c>
      <c r="RW35" s="208">
        <f t="shared" si="140"/>
        <v>0.99484763399958753</v>
      </c>
      <c r="RX35" s="208">
        <f t="shared" si="141"/>
        <v>0.98609822371682676</v>
      </c>
      <c r="RY35" s="208">
        <f t="shared" si="142"/>
        <v>0.9813608494209265</v>
      </c>
      <c r="RZ35" s="208">
        <f t="shared" si="85"/>
        <v>0.97697540463574251</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1</v>
      </c>
      <c r="SN35" s="225">
        <f t="shared" si="98"/>
        <v>8.0680540799999996</v>
      </c>
      <c r="SO35" s="209">
        <f t="shared" si="144"/>
        <v>0.87667449223039406</v>
      </c>
      <c r="SP35" s="209">
        <f t="shared" si="145"/>
        <v>0.99380709671509271</v>
      </c>
      <c r="SQ35" s="222">
        <f t="shared" si="146"/>
        <v>13633366495</v>
      </c>
      <c r="SR35" s="222">
        <f t="shared" si="147"/>
        <v>13563122401</v>
      </c>
      <c r="SS35" s="222">
        <f t="shared" si="148"/>
        <v>13443838484</v>
      </c>
      <c r="ST35" s="222">
        <f t="shared" si="149"/>
        <v>13379252124</v>
      </c>
      <c r="SU35" s="222">
        <f t="shared" si="150"/>
        <v>13319463748</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5</v>
      </c>
      <c r="AG36" s="430">
        <v>0</v>
      </c>
      <c r="AH36" s="430" t="s">
        <v>1975</v>
      </c>
      <c r="AI36" s="430">
        <v>0</v>
      </c>
      <c r="AJ36" s="430">
        <v>1</v>
      </c>
      <c r="AK36" s="594">
        <v>919867072</v>
      </c>
      <c r="AL36" s="594">
        <v>15404378070</v>
      </c>
      <c r="AM36" s="430">
        <v>2665310516</v>
      </c>
      <c r="AN36" s="430">
        <v>1450289159</v>
      </c>
      <c r="AO36" s="430">
        <v>36127759</v>
      </c>
      <c r="AP36" s="430">
        <v>21248014</v>
      </c>
      <c r="AQ36" s="595">
        <v>3585549</v>
      </c>
      <c r="AR36" s="595">
        <v>1566835</v>
      </c>
      <c r="AS36" s="594">
        <v>8142079587</v>
      </c>
      <c r="AT36" s="594">
        <v>2195033513</v>
      </c>
      <c r="AU36" s="430" t="s">
        <v>1974</v>
      </c>
      <c r="AV36" s="430" t="s">
        <v>1964</v>
      </c>
      <c r="AW36" s="430">
        <v>0</v>
      </c>
      <c r="AX36" s="430">
        <v>9</v>
      </c>
      <c r="AY36" s="430">
        <v>0</v>
      </c>
      <c r="AZ36" s="430" t="s">
        <v>1975</v>
      </c>
      <c r="BA36" s="430">
        <v>0</v>
      </c>
      <c r="BB36" s="430">
        <v>1</v>
      </c>
      <c r="BC36" s="430">
        <v>769351904</v>
      </c>
      <c r="BD36" s="430">
        <v>15653301215</v>
      </c>
      <c r="BE36" s="430">
        <v>12237554538</v>
      </c>
      <c r="BF36" s="595">
        <v>1222577427</v>
      </c>
      <c r="BG36" s="430">
        <v>7103903580</v>
      </c>
      <c r="BH36" s="595">
        <v>133535217</v>
      </c>
      <c r="BI36" s="430">
        <v>3571270195</v>
      </c>
      <c r="BJ36" s="430">
        <v>986744025</v>
      </c>
      <c r="BK36" s="430">
        <v>0</v>
      </c>
      <c r="BL36" s="430">
        <v>586496047</v>
      </c>
      <c r="BM36" s="430" t="s">
        <v>1974</v>
      </c>
      <c r="BN36" s="430" t="s">
        <v>1964</v>
      </c>
      <c r="BO36" s="430">
        <v>0</v>
      </c>
      <c r="BP36" s="430">
        <v>1</v>
      </c>
      <c r="BQ36" s="430">
        <v>0</v>
      </c>
      <c r="BR36" s="430" t="s">
        <v>1975</v>
      </c>
      <c r="BS36" s="430">
        <v>0</v>
      </c>
      <c r="BT36" s="430">
        <v>1</v>
      </c>
      <c r="BU36" s="430">
        <v>785102592</v>
      </c>
      <c r="BV36" s="430">
        <v>15598397890</v>
      </c>
      <c r="BW36" s="594">
        <v>4587830416</v>
      </c>
      <c r="BX36" s="594">
        <v>4536013609</v>
      </c>
      <c r="BY36" s="430">
        <v>2415216019</v>
      </c>
      <c r="BZ36" s="430">
        <v>1674292975</v>
      </c>
      <c r="CA36" s="430">
        <v>1809516513</v>
      </c>
      <c r="CB36" s="430">
        <v>16879015312</v>
      </c>
      <c r="CC36" s="430">
        <v>1422634412</v>
      </c>
      <c r="CD36" s="430">
        <v>17401129227</v>
      </c>
      <c r="CE36" s="430" t="s">
        <v>1974</v>
      </c>
      <c r="CF36" s="430" t="s">
        <v>1964</v>
      </c>
      <c r="CG36" s="430">
        <v>0</v>
      </c>
      <c r="CH36" s="430">
        <v>13</v>
      </c>
      <c r="CI36" s="430">
        <v>0</v>
      </c>
      <c r="CJ36" s="430" t="s">
        <v>1975</v>
      </c>
      <c r="CK36" s="430">
        <v>0</v>
      </c>
      <c r="CL36" s="430">
        <v>1</v>
      </c>
      <c r="CM36" s="430">
        <v>769438720</v>
      </c>
      <c r="CN36" s="430">
        <v>15181464788</v>
      </c>
      <c r="CO36" s="430">
        <v>3719303</v>
      </c>
      <c r="CP36" s="430">
        <v>131969040</v>
      </c>
      <c r="CQ36" s="430">
        <v>13252395</v>
      </c>
      <c r="CR36" s="430">
        <v>36971444</v>
      </c>
      <c r="CS36" s="430">
        <v>20706867</v>
      </c>
      <c r="CT36" s="430">
        <v>32850788</v>
      </c>
      <c r="CU36" s="430">
        <v>607329</v>
      </c>
      <c r="CV36" s="430">
        <v>1620537</v>
      </c>
      <c r="CW36" s="430" t="s">
        <v>1974</v>
      </c>
      <c r="CX36" s="430" t="s">
        <v>1964</v>
      </c>
      <c r="CY36" s="430">
        <v>0</v>
      </c>
      <c r="CZ36" s="430">
        <v>9</v>
      </c>
      <c r="DA36" s="430">
        <v>0</v>
      </c>
      <c r="DB36" s="430" t="s">
        <v>1975</v>
      </c>
      <c r="DC36" s="430">
        <v>0</v>
      </c>
      <c r="DD36" s="430">
        <v>1</v>
      </c>
      <c r="DE36" s="430">
        <v>791263104</v>
      </c>
      <c r="DF36" s="430">
        <v>15452276335</v>
      </c>
      <c r="DG36" s="430">
        <v>2067227145</v>
      </c>
      <c r="DH36" s="430">
        <v>1008870044</v>
      </c>
      <c r="DI36" s="430">
        <v>84950461</v>
      </c>
      <c r="DJ36" s="430">
        <v>2014769119</v>
      </c>
      <c r="DK36" s="430">
        <v>577999600</v>
      </c>
      <c r="DL36" s="430">
        <v>881910426</v>
      </c>
      <c r="DM36" s="430">
        <v>304001571</v>
      </c>
      <c r="DN36" s="430">
        <v>35098207</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5</v>
      </c>
      <c r="NB36" s="424">
        <f t="shared" si="101"/>
        <v>0</v>
      </c>
      <c r="NC36" s="207">
        <f t="shared" si="102"/>
        <v>9.1986707200000009</v>
      </c>
      <c r="ND36" s="208">
        <f t="shared" si="103"/>
        <v>1.316661025453034</v>
      </c>
      <c r="NE36" s="209">
        <f t="shared" si="15"/>
        <v>2.4583686440346409E-2</v>
      </c>
      <c r="NF36" s="208">
        <f t="shared" si="16"/>
        <v>1.4533825583007713</v>
      </c>
      <c r="NG36" s="210"/>
      <c r="NH36" s="211">
        <f t="shared" si="104"/>
        <v>8142079587</v>
      </c>
      <c r="NI36" s="208">
        <f t="shared" si="17"/>
        <v>12111531223</v>
      </c>
      <c r="NJ36" s="212">
        <f t="shared" si="105"/>
        <v>0.2695912622255236</v>
      </c>
      <c r="NK36" s="213">
        <f t="shared" si="106"/>
        <v>0.88025550755746917</v>
      </c>
      <c r="NL36" s="214">
        <f t="shared" si="18"/>
        <v>0.66287406850826436</v>
      </c>
      <c r="NM36" s="208">
        <f t="shared" si="107"/>
        <v>0.52855620330798592</v>
      </c>
      <c r="NN36" s="208">
        <f t="shared" si="19"/>
        <v>0.88513654144584908</v>
      </c>
      <c r="NO36" s="215">
        <f t="shared" si="20"/>
        <v>7.8472040743052057E-2</v>
      </c>
      <c r="NP36" s="216" t="str">
        <f t="shared" si="108"/>
        <v/>
      </c>
      <c r="NQ36" s="215" t="str">
        <f t="shared" si="109"/>
        <v/>
      </c>
      <c r="NR36" s="215" t="str">
        <f t="shared" si="110"/>
        <v/>
      </c>
      <c r="NS36" s="215" t="str">
        <f t="shared" si="21"/>
        <v/>
      </c>
      <c r="NT36" s="215" t="str">
        <f t="shared" si="22"/>
        <v/>
      </c>
      <c r="NU36" s="215">
        <f t="shared" si="23"/>
        <v>4.0961406471179593</v>
      </c>
      <c r="NV36" s="215" t="str">
        <f t="shared" si="111"/>
        <v/>
      </c>
      <c r="NW36" s="215" t="str">
        <f t="shared" si="24"/>
        <v/>
      </c>
      <c r="NX36" s="215">
        <f t="shared" si="25"/>
        <v>2.0986588148240135</v>
      </c>
      <c r="NY36" s="215" t="str">
        <f t="shared" si="26"/>
        <v/>
      </c>
      <c r="NZ36" s="215">
        <f t="shared" si="27"/>
        <v>0.33827323287708877</v>
      </c>
      <c r="OA36" s="215">
        <f t="shared" si="28"/>
        <v>0</v>
      </c>
      <c r="OB36" s="215">
        <f t="shared" si="29"/>
        <v>0.23520593550194482</v>
      </c>
      <c r="OC36" s="215">
        <f t="shared" si="30"/>
        <v>0.34465471154192218</v>
      </c>
      <c r="OD36" s="215">
        <f t="shared" si="31"/>
        <v>0.71844827018987634</v>
      </c>
      <c r="OE36" s="215" t="str">
        <f t="shared" si="32"/>
        <v/>
      </c>
      <c r="OF36" s="215" t="str">
        <f t="shared" si="33"/>
        <v/>
      </c>
      <c r="OG36" s="215" t="str">
        <f t="shared" si="34"/>
        <v/>
      </c>
      <c r="OH36" s="215">
        <f t="shared" si="35"/>
        <v>1.2888170672041437</v>
      </c>
      <c r="OI36" s="215">
        <f t="shared" si="112"/>
        <v>9.1986707200000009</v>
      </c>
      <c r="OJ36" s="218">
        <f t="shared" si="113"/>
        <v>0.11600656206879205</v>
      </c>
      <c r="OK36" s="218">
        <f t="shared" si="114"/>
        <v>9.1203880169773002E-2</v>
      </c>
      <c r="OL36" s="218" t="str">
        <f t="shared" si="115"/>
        <v/>
      </c>
      <c r="OM36" s="218" t="str">
        <f t="shared" si="116"/>
        <v/>
      </c>
      <c r="ON36" s="217">
        <f t="shared" si="36"/>
        <v>0.29246093378760452</v>
      </c>
      <c r="OO36" s="210"/>
      <c r="OP36" s="210"/>
      <c r="OQ36" s="218" t="str">
        <f t="shared" si="117"/>
        <v/>
      </c>
      <c r="OR36" s="218" t="str">
        <f t="shared" si="118"/>
        <v/>
      </c>
      <c r="OS36" s="218">
        <f t="shared" si="37"/>
        <v>0.58299465598742506</v>
      </c>
      <c r="OT36" s="218">
        <f t="shared" si="38"/>
        <v>0.76447650043734494</v>
      </c>
      <c r="OU36" s="209" t="str">
        <f t="shared" si="39"/>
        <v/>
      </c>
      <c r="OV36" s="209" t="str">
        <f t="shared" si="40"/>
        <v/>
      </c>
      <c r="OW36" s="209">
        <f t="shared" si="119"/>
        <v>0.10733749624846889</v>
      </c>
      <c r="OX36" s="219" t="str">
        <f t="shared" si="41"/>
        <v/>
      </c>
      <c r="OY36" s="208">
        <f t="shared" si="120"/>
        <v>2592768719</v>
      </c>
      <c r="OZ36" s="208">
        <f t="shared" si="42"/>
        <v>131969040</v>
      </c>
      <c r="PA36" s="209">
        <f t="shared" si="121"/>
        <v>5.0898886211068951E-2</v>
      </c>
      <c r="PB36" s="209">
        <f>IF(OR($CQ36="",$OZ36=""),"",IF($OZ36=0,0,
GuardLimitUpper(
  ($OZ36-$CQ36)/$OZ36,
  data_GuardLimitFlag,
  1)
))</f>
        <v>0.8995795150135214</v>
      </c>
      <c r="PC36" s="209" t="str">
        <f t="shared" si="43"/>
        <v/>
      </c>
      <c r="PD36" s="209" t="str">
        <f t="shared" si="44"/>
        <v/>
      </c>
      <c r="PE36" s="208">
        <f t="shared" si="122"/>
        <v>30975375</v>
      </c>
      <c r="PF36" s="209">
        <f t="shared" si="123"/>
        <v>1.1946833041069253E-2</v>
      </c>
      <c r="PG36" s="209">
        <f t="shared" si="45"/>
        <v>0.54842157681706838</v>
      </c>
      <c r="PH36" s="209" t="str">
        <f t="shared" si="46"/>
        <v/>
      </c>
      <c r="PI36" s="209" t="str">
        <f t="shared" si="47"/>
        <v/>
      </c>
      <c r="PJ36" s="220" t="str">
        <f t="shared" si="48"/>
        <v/>
      </c>
      <c r="PK36" s="220" t="str">
        <f t="shared" si="49"/>
        <v/>
      </c>
      <c r="PL36" s="221">
        <f t="shared" si="124"/>
        <v>849059638</v>
      </c>
      <c r="PM36" s="221" t="str">
        <f t="shared" si="50"/>
        <v/>
      </c>
      <c r="PN36" s="221">
        <f t="shared" si="125"/>
        <v>32850788</v>
      </c>
      <c r="PO36" s="221" t="str">
        <f t="shared" si="51"/>
        <v/>
      </c>
      <c r="PP36" s="221" t="str">
        <f t="shared" si="52"/>
        <v/>
      </c>
      <c r="PQ36" s="529" t="str">
        <f t="shared" si="126"/>
        <v/>
      </c>
      <c r="PR36" s="221" t="str">
        <f t="shared" si="53"/>
        <v/>
      </c>
      <c r="PS36" s="221">
        <f t="shared" si="54"/>
        <v>1132858693</v>
      </c>
      <c r="PT36" s="221">
        <f t="shared" si="127"/>
        <v>303394242</v>
      </c>
      <c r="PU36" s="221" t="str">
        <f t="shared" si="55"/>
        <v/>
      </c>
      <c r="PV36" s="221">
        <f t="shared" si="128"/>
        <v>607329</v>
      </c>
      <c r="PW36" s="221" t="str">
        <f t="shared" si="56"/>
        <v/>
      </c>
      <c r="PX36" s="221" t="str">
        <f t="shared" si="162"/>
        <v/>
      </c>
      <c r="PY36" s="221">
        <f t="shared" si="57"/>
        <v>273998029</v>
      </c>
      <c r="PZ36" s="221" t="str">
        <f t="shared" si="58"/>
        <v/>
      </c>
      <c r="QA36" s="221" t="str">
        <f t="shared" si="59"/>
        <v/>
      </c>
      <c r="QB36" s="221" t="str">
        <f t="shared" si="60"/>
        <v/>
      </c>
      <c r="QC36" s="221" t="str">
        <f t="shared" si="61"/>
        <v/>
      </c>
      <c r="QD36" s="221">
        <f t="shared" si="129"/>
        <v>973406640</v>
      </c>
      <c r="QE36" s="221">
        <f t="shared" si="130"/>
        <v>1008870044</v>
      </c>
      <c r="QF36" s="221">
        <f t="shared" si="131"/>
        <v>84950461</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3482083723</v>
      </c>
      <c r="QN36" s="222">
        <f t="shared" si="133"/>
        <v>8142079587</v>
      </c>
      <c r="QO36" s="222" t="str">
        <f t="shared" si="134"/>
        <v/>
      </c>
      <c r="QP36" s="222" t="str">
        <f t="shared" si="135"/>
        <v/>
      </c>
      <c r="QQ36" s="222" t="str">
        <f t="shared" si="136"/>
        <v/>
      </c>
      <c r="QR36" s="222">
        <f t="shared" si="67"/>
        <v>0.87278045078831601</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9.1986707200000009</v>
      </c>
      <c r="RV36" s="208">
        <f t="shared" si="139"/>
        <v>1</v>
      </c>
      <c r="RW36" s="208">
        <f t="shared" si="140"/>
        <v>1.0161592466679832</v>
      </c>
      <c r="RX36" s="208">
        <f t="shared" si="141"/>
        <v>1.0125951089435965</v>
      </c>
      <c r="RY36" s="208">
        <f t="shared" si="142"/>
        <v>0.98552922545869459</v>
      </c>
      <c r="RZ36" s="208">
        <f t="shared" si="85"/>
        <v>1.0031093929779147</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1</v>
      </c>
      <c r="SN36" s="225">
        <f t="shared" si="98"/>
        <v>9.1986707200000009</v>
      </c>
      <c r="SO36" s="209">
        <f t="shared" si="144"/>
        <v>0.96219243982424996</v>
      </c>
      <c r="SP36" s="209">
        <f t="shared" si="145"/>
        <v>0.48590617823487442</v>
      </c>
      <c r="SQ36" s="222">
        <f t="shared" si="146"/>
        <v>15404378070</v>
      </c>
      <c r="SR36" s="222">
        <f t="shared" si="147"/>
        <v>15653301215</v>
      </c>
      <c r="SS36" s="222">
        <f t="shared" si="148"/>
        <v>15598397890</v>
      </c>
      <c r="ST36" s="222">
        <f t="shared" si="149"/>
        <v>15181464788</v>
      </c>
      <c r="SU36" s="222">
        <f t="shared" si="150"/>
        <v>15452276335</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5</v>
      </c>
      <c r="AG37" s="430">
        <v>1</v>
      </c>
      <c r="AH37" s="430" t="s">
        <v>1975</v>
      </c>
      <c r="AI37" s="430">
        <v>0</v>
      </c>
      <c r="AJ37" s="430">
        <v>1</v>
      </c>
      <c r="AK37" s="594">
        <v>806894816</v>
      </c>
      <c r="AL37" s="594">
        <v>13664037398</v>
      </c>
      <c r="AM37" s="430">
        <v>1505289488</v>
      </c>
      <c r="AN37" s="430">
        <v>518592291</v>
      </c>
      <c r="AO37" s="430">
        <v>10519792</v>
      </c>
      <c r="AP37" s="430">
        <v>6978057</v>
      </c>
      <c r="AQ37" s="595">
        <v>664027</v>
      </c>
      <c r="AR37" s="595">
        <v>182223</v>
      </c>
      <c r="AS37" s="594">
        <v>16682774823</v>
      </c>
      <c r="AT37" s="594">
        <v>1221354117</v>
      </c>
      <c r="AU37" s="430" t="s">
        <v>1974</v>
      </c>
      <c r="AV37" s="430" t="s">
        <v>1964</v>
      </c>
      <c r="AW37" s="430">
        <v>0</v>
      </c>
      <c r="AX37" s="430">
        <v>9</v>
      </c>
      <c r="AY37" s="430">
        <v>1</v>
      </c>
      <c r="AZ37" s="430" t="s">
        <v>1975</v>
      </c>
      <c r="BA37" s="430">
        <v>0</v>
      </c>
      <c r="BB37" s="430">
        <v>1</v>
      </c>
      <c r="BC37" s="430">
        <v>698790784</v>
      </c>
      <c r="BD37" s="430">
        <v>13557597634</v>
      </c>
      <c r="BE37" s="430">
        <v>7668730951</v>
      </c>
      <c r="BF37" s="595">
        <v>1807720976</v>
      </c>
      <c r="BG37" s="430">
        <v>4005857104</v>
      </c>
      <c r="BH37" s="595">
        <v>131980862</v>
      </c>
      <c r="BI37" s="430">
        <v>2257955963</v>
      </c>
      <c r="BJ37" s="430">
        <v>614361779</v>
      </c>
      <c r="BK37" s="430">
        <v>0</v>
      </c>
      <c r="BL37" s="430">
        <v>1834222</v>
      </c>
      <c r="BM37" s="430" t="s">
        <v>1974</v>
      </c>
      <c r="BN37" s="430" t="s">
        <v>1964</v>
      </c>
      <c r="BO37" s="430">
        <v>0</v>
      </c>
      <c r="BP37" s="430">
        <v>1</v>
      </c>
      <c r="BQ37" s="430">
        <v>1</v>
      </c>
      <c r="BR37" s="430" t="s">
        <v>1975</v>
      </c>
      <c r="BS37" s="430">
        <v>0</v>
      </c>
      <c r="BT37" s="430">
        <v>1</v>
      </c>
      <c r="BU37" s="430">
        <v>692648256</v>
      </c>
      <c r="BV37" s="430">
        <v>13440959996</v>
      </c>
      <c r="BW37" s="594">
        <v>3657230413</v>
      </c>
      <c r="BX37" s="594">
        <v>3710444595</v>
      </c>
      <c r="BY37" s="430">
        <v>2352452050</v>
      </c>
      <c r="BZ37" s="430">
        <v>361410319</v>
      </c>
      <c r="CA37" s="430">
        <v>832456245</v>
      </c>
      <c r="CB37" s="430">
        <v>7079566988</v>
      </c>
      <c r="CC37" s="430">
        <v>661114590</v>
      </c>
      <c r="CD37" s="430">
        <v>7606334412</v>
      </c>
      <c r="CE37" s="430" t="s">
        <v>1974</v>
      </c>
      <c r="CF37" s="430" t="s">
        <v>1964</v>
      </c>
      <c r="CG37" s="430">
        <v>0</v>
      </c>
      <c r="CH37" s="430">
        <v>13</v>
      </c>
      <c r="CI37" s="430">
        <v>1</v>
      </c>
      <c r="CJ37" s="430" t="s">
        <v>1975</v>
      </c>
      <c r="CK37" s="430">
        <v>0</v>
      </c>
      <c r="CL37" s="430">
        <v>1</v>
      </c>
      <c r="CM37" s="430">
        <v>690449280</v>
      </c>
      <c r="CN37" s="430">
        <v>13372641127</v>
      </c>
      <c r="CO37" s="430">
        <v>678499</v>
      </c>
      <c r="CP37" s="430">
        <v>34193575</v>
      </c>
      <c r="CQ37" s="430">
        <v>7816987</v>
      </c>
      <c r="CR37" s="430">
        <v>10523450</v>
      </c>
      <c r="CS37" s="430">
        <v>3884554</v>
      </c>
      <c r="CT37" s="430">
        <v>16240802</v>
      </c>
      <c r="CU37" s="430">
        <v>97350</v>
      </c>
      <c r="CV37" s="430">
        <v>186722</v>
      </c>
      <c r="CW37" s="430" t="s">
        <v>1974</v>
      </c>
      <c r="CX37" s="430" t="s">
        <v>1964</v>
      </c>
      <c r="CY37" s="430">
        <v>0</v>
      </c>
      <c r="CZ37" s="430">
        <v>9</v>
      </c>
      <c r="DA37" s="430">
        <v>1</v>
      </c>
      <c r="DB37" s="430" t="s">
        <v>1975</v>
      </c>
      <c r="DC37" s="430">
        <v>0</v>
      </c>
      <c r="DD37" s="430">
        <v>1</v>
      </c>
      <c r="DE37" s="430">
        <v>688423072</v>
      </c>
      <c r="DF37" s="430">
        <v>13318874801</v>
      </c>
      <c r="DG37" s="430">
        <v>939764193</v>
      </c>
      <c r="DH37" s="430">
        <v>481114532</v>
      </c>
      <c r="DI37" s="430">
        <v>34969510</v>
      </c>
      <c r="DJ37" s="430">
        <v>4043987958</v>
      </c>
      <c r="DK37" s="430">
        <v>553960147</v>
      </c>
      <c r="DL37" s="430">
        <v>439528820</v>
      </c>
      <c r="DM37" s="430">
        <v>144487463</v>
      </c>
      <c r="DN37" s="430">
        <v>13381522</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5</v>
      </c>
      <c r="NB37" s="424">
        <f t="shared" si="101"/>
        <v>1</v>
      </c>
      <c r="NC37" s="207">
        <f t="shared" si="102"/>
        <v>8.0689481599999997</v>
      </c>
      <c r="ND37" s="208">
        <f t="shared" si="103"/>
        <v>0.81048361116252365</v>
      </c>
      <c r="NE37" s="209">
        <f t="shared" si="15"/>
        <v>1.5132729363659477E-2</v>
      </c>
      <c r="NF37" s="208">
        <f t="shared" si="16"/>
        <v>0.52829802094056333</v>
      </c>
      <c r="NG37" s="210"/>
      <c r="NH37" s="211">
        <f t="shared" si="104"/>
        <v>16682774823</v>
      </c>
      <c r="NI37" s="208">
        <f t="shared" si="17"/>
        <v>6539750243</v>
      </c>
      <c r="NJ37" s="212">
        <f t="shared" si="105"/>
        <v>7.3210489859046629E-2</v>
      </c>
      <c r="NK37" s="213">
        <f t="shared" si="106"/>
        <v>0.92070151431928315</v>
      </c>
      <c r="NL37" s="214">
        <f t="shared" si="18"/>
        <v>0.61454657254337719</v>
      </c>
      <c r="NM37" s="208">
        <f t="shared" si="107"/>
        <v>1.2209257291290678</v>
      </c>
      <c r="NN37" s="208">
        <f t="shared" si="19"/>
        <v>2.0675278229820724</v>
      </c>
      <c r="NO37" s="215">
        <f t="shared" si="20"/>
        <v>7.8549811134637923E-2</v>
      </c>
      <c r="NP37" s="216" t="str">
        <f t="shared" si="108"/>
        <v/>
      </c>
      <c r="NQ37" s="215" t="str">
        <f t="shared" si="109"/>
        <v/>
      </c>
      <c r="NR37" s="215" t="str">
        <f t="shared" si="110"/>
        <v/>
      </c>
      <c r="NS37" s="215" t="str">
        <f t="shared" si="21"/>
        <v/>
      </c>
      <c r="NT37" s="215" t="str">
        <f t="shared" si="22"/>
        <v/>
      </c>
      <c r="NU37" s="215">
        <f t="shared" si="23"/>
        <v>2.3055785706874752</v>
      </c>
      <c r="NV37" s="215" t="str">
        <f t="shared" si="111"/>
        <v/>
      </c>
      <c r="NW37" s="215" t="str">
        <f t="shared" si="24"/>
        <v/>
      </c>
      <c r="NX37" s="215">
        <f t="shared" si="25"/>
        <v>1.3438464619512751</v>
      </c>
      <c r="NY37" s="215" t="str">
        <f t="shared" si="26"/>
        <v/>
      </c>
      <c r="NZ37" s="215">
        <f t="shared" si="27"/>
        <v>0.4705078584733367</v>
      </c>
      <c r="OA37" s="215">
        <f t="shared" si="28"/>
        <v>0</v>
      </c>
      <c r="OB37" s="215">
        <f t="shared" si="29"/>
        <v>0.36455227817129399</v>
      </c>
      <c r="OC37" s="215">
        <f t="shared" si="30"/>
        <v>1.091656695491183E-3</v>
      </c>
      <c r="OD37" s="215">
        <f t="shared" si="31"/>
        <v>1.0758843297214056</v>
      </c>
      <c r="OE37" s="215" t="str">
        <f t="shared" si="32"/>
        <v/>
      </c>
      <c r="OF37" s="215" t="str">
        <f t="shared" si="33"/>
        <v/>
      </c>
      <c r="OG37" s="215" t="str">
        <f t="shared" si="34"/>
        <v/>
      </c>
      <c r="OH37" s="215">
        <f t="shared" si="35"/>
        <v>2.4289371931650843</v>
      </c>
      <c r="OI37" s="215">
        <f t="shared" si="112"/>
        <v>8.0689481599999997</v>
      </c>
      <c r="OJ37" s="218">
        <f t="shared" si="113"/>
        <v>6.1934284846300945E-2</v>
      </c>
      <c r="OK37" s="218">
        <f t="shared" si="114"/>
        <v>4.9186560349613884E-2</v>
      </c>
      <c r="OL37" s="218" t="str">
        <f t="shared" si="115"/>
        <v/>
      </c>
      <c r="OM37" s="218" t="str">
        <f t="shared" si="116"/>
        <v/>
      </c>
      <c r="ON37" s="217">
        <f t="shared" si="36"/>
        <v>0.27407547564283369</v>
      </c>
      <c r="OO37" s="210"/>
      <c r="OP37" s="210"/>
      <c r="OQ37" s="218" t="str">
        <f t="shared" si="117"/>
        <v/>
      </c>
      <c r="OR37" s="218" t="str">
        <f t="shared" si="118"/>
        <v/>
      </c>
      <c r="OS37" s="218">
        <f t="shared" si="37"/>
        <v>0.5315269594139449</v>
      </c>
      <c r="OT37" s="218">
        <f t="shared" si="38"/>
        <v>0.7190824524837669</v>
      </c>
      <c r="OU37" s="209" t="str">
        <f t="shared" si="39"/>
        <v/>
      </c>
      <c r="OV37" s="209" t="str">
        <f t="shared" si="40"/>
        <v/>
      </c>
      <c r="OW37" s="209">
        <f t="shared" si="119"/>
        <v>2.6888728119684523E-2</v>
      </c>
      <c r="OX37" s="219" t="str">
        <f t="shared" si="41"/>
        <v/>
      </c>
      <c r="OY37" s="208">
        <f t="shared" si="120"/>
        <v>4597948105</v>
      </c>
      <c r="OZ37" s="208">
        <f t="shared" si="42"/>
        <v>34193575</v>
      </c>
      <c r="PA37" s="209">
        <f t="shared" si="121"/>
        <v>7.4367031160739909E-3</v>
      </c>
      <c r="PB37" s="209">
        <f>IF(OR($CQ37="",$OZ37=""),"",IF($OZ37=0,0,
GuardLimitUpper(
  ($OZ37-$CQ37)/$OZ37,
  data_GuardLimitFlag,
  1)
))</f>
        <v>0.77139018075764232</v>
      </c>
      <c r="PC37" s="209" t="str">
        <f t="shared" si="43"/>
        <v/>
      </c>
      <c r="PD37" s="209" t="str">
        <f t="shared" si="44"/>
        <v/>
      </c>
      <c r="PE37" s="208">
        <f t="shared" si="122"/>
        <v>9673542</v>
      </c>
      <c r="PF37" s="209">
        <f t="shared" si="123"/>
        <v>2.1038823795076302E-3</v>
      </c>
      <c r="PG37" s="209">
        <f t="shared" si="45"/>
        <v>0.33142513879611007</v>
      </c>
      <c r="PH37" s="209" t="str">
        <f t="shared" si="46"/>
        <v/>
      </c>
      <c r="PI37" s="209" t="str">
        <f t="shared" si="47"/>
        <v/>
      </c>
      <c r="PJ37" s="220" t="str">
        <f t="shared" si="48"/>
        <v/>
      </c>
      <c r="PK37" s="220" t="str">
        <f t="shared" si="49"/>
        <v/>
      </c>
      <c r="PL37" s="221">
        <f t="shared" si="124"/>
        <v>423288018</v>
      </c>
      <c r="PM37" s="221" t="str">
        <f t="shared" si="50"/>
        <v/>
      </c>
      <c r="PN37" s="221">
        <f t="shared" si="125"/>
        <v>16240802</v>
      </c>
      <c r="PO37" s="221" t="str">
        <f t="shared" si="51"/>
        <v/>
      </c>
      <c r="PP37" s="221" t="str">
        <f t="shared" si="52"/>
        <v/>
      </c>
      <c r="PQ37" s="529" t="str">
        <f t="shared" si="126"/>
        <v/>
      </c>
      <c r="PR37" s="221" t="str">
        <f t="shared" si="53"/>
        <v/>
      </c>
      <c r="PS37" s="221">
        <f t="shared" si="54"/>
        <v>3604459138</v>
      </c>
      <c r="PT37" s="221">
        <f t="shared" si="127"/>
        <v>144390113</v>
      </c>
      <c r="PU37" s="221" t="str">
        <f t="shared" si="55"/>
        <v/>
      </c>
      <c r="PV37" s="221">
        <f t="shared" si="128"/>
        <v>97350</v>
      </c>
      <c r="PW37" s="221" t="str">
        <f t="shared" si="56"/>
        <v/>
      </c>
      <c r="PX37" s="221" t="str">
        <f t="shared" si="162"/>
        <v/>
      </c>
      <c r="PY37" s="221">
        <f t="shared" si="57"/>
        <v>409472684</v>
      </c>
      <c r="PZ37" s="221" t="str">
        <f t="shared" si="58"/>
        <v/>
      </c>
      <c r="QA37" s="221" t="str">
        <f t="shared" si="59"/>
        <v/>
      </c>
      <c r="QB37" s="221" t="str">
        <f t="shared" si="60"/>
        <v/>
      </c>
      <c r="QC37" s="221" t="str">
        <f t="shared" si="61"/>
        <v/>
      </c>
      <c r="QD37" s="221">
        <f t="shared" si="129"/>
        <v>423680151</v>
      </c>
      <c r="QE37" s="221">
        <f t="shared" si="130"/>
        <v>481114532</v>
      </c>
      <c r="QF37" s="221">
        <f t="shared" si="131"/>
        <v>34969510</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11145062525</v>
      </c>
      <c r="QN37" s="222">
        <f t="shared" si="133"/>
        <v>16682774823</v>
      </c>
      <c r="QO37" s="222" t="str">
        <f t="shared" si="134"/>
        <v/>
      </c>
      <c r="QP37" s="222" t="str">
        <f t="shared" si="135"/>
        <v/>
      </c>
      <c r="QQ37" s="222" t="str">
        <f t="shared" si="136"/>
        <v/>
      </c>
      <c r="QR37" s="222">
        <f t="shared" si="67"/>
        <v>0.49807992534250817</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8.0689481599999997</v>
      </c>
      <c r="RV37" s="208">
        <f t="shared" si="139"/>
        <v>1</v>
      </c>
      <c r="RW37" s="208">
        <f t="shared" si="140"/>
        <v>0.99221022594569452</v>
      </c>
      <c r="RX37" s="208">
        <f t="shared" si="141"/>
        <v>0.98367412240596974</v>
      </c>
      <c r="RY37" s="208">
        <f t="shared" si="142"/>
        <v>0.97867421886281936</v>
      </c>
      <c r="RZ37" s="208">
        <f t="shared" si="85"/>
        <v>0.97473934043458332</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1</v>
      </c>
      <c r="SN37" s="225">
        <f t="shared" si="98"/>
        <v>8.0689481599999997</v>
      </c>
      <c r="SO37" s="209">
        <f t="shared" si="144"/>
        <v>0.87675813163775829</v>
      </c>
      <c r="SP37" s="209">
        <f t="shared" si="145"/>
        <v>0.99560109551615394</v>
      </c>
      <c r="SQ37" s="222">
        <f t="shared" si="146"/>
        <v>13664037398</v>
      </c>
      <c r="SR37" s="222">
        <f t="shared" si="147"/>
        <v>13557597634</v>
      </c>
      <c r="SS37" s="222">
        <f t="shared" si="148"/>
        <v>13440959996</v>
      </c>
      <c r="ST37" s="222">
        <f t="shared" si="149"/>
        <v>13372641127</v>
      </c>
      <c r="SU37" s="222">
        <f t="shared" si="150"/>
        <v>13318874801</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5</v>
      </c>
      <c r="AG38" s="430">
        <v>2</v>
      </c>
      <c r="AH38" s="430" t="s">
        <v>1975</v>
      </c>
      <c r="AI38" s="430">
        <v>0</v>
      </c>
      <c r="AJ38" s="430">
        <v>1</v>
      </c>
      <c r="AK38" s="594">
        <v>806826784</v>
      </c>
      <c r="AL38" s="594">
        <v>13663726609</v>
      </c>
      <c r="AM38" s="430">
        <v>1504770722</v>
      </c>
      <c r="AN38" s="430">
        <v>517712159</v>
      </c>
      <c r="AO38" s="430">
        <v>11185147</v>
      </c>
      <c r="AP38" s="430">
        <v>7243803</v>
      </c>
      <c r="AQ38" s="595">
        <v>678597</v>
      </c>
      <c r="AR38" s="595">
        <v>205639</v>
      </c>
      <c r="AS38" s="594">
        <v>16756485000</v>
      </c>
      <c r="AT38" s="594">
        <v>1220662788</v>
      </c>
      <c r="AU38" s="430" t="s">
        <v>1974</v>
      </c>
      <c r="AV38" s="430" t="s">
        <v>1964</v>
      </c>
      <c r="AW38" s="430">
        <v>0</v>
      </c>
      <c r="AX38" s="430">
        <v>9</v>
      </c>
      <c r="AY38" s="430">
        <v>2</v>
      </c>
      <c r="AZ38" s="430" t="s">
        <v>1975</v>
      </c>
      <c r="BA38" s="430">
        <v>0</v>
      </c>
      <c r="BB38" s="430">
        <v>1</v>
      </c>
      <c r="BC38" s="430">
        <v>698739872</v>
      </c>
      <c r="BD38" s="430">
        <v>13557351573</v>
      </c>
      <c r="BE38" s="430">
        <v>7341210229</v>
      </c>
      <c r="BF38" s="595">
        <v>2218428803</v>
      </c>
      <c r="BG38" s="430">
        <v>3226133029</v>
      </c>
      <c r="BH38" s="595">
        <v>133351707</v>
      </c>
      <c r="BI38" s="430">
        <v>2596800759</v>
      </c>
      <c r="BJ38" s="430">
        <v>628938883</v>
      </c>
      <c r="BK38" s="430">
        <v>0</v>
      </c>
      <c r="BL38" s="430">
        <v>1573973</v>
      </c>
      <c r="BM38" s="430" t="s">
        <v>1974</v>
      </c>
      <c r="BN38" s="430" t="s">
        <v>1964</v>
      </c>
      <c r="BO38" s="430">
        <v>0</v>
      </c>
      <c r="BP38" s="430">
        <v>1</v>
      </c>
      <c r="BQ38" s="430">
        <v>2</v>
      </c>
      <c r="BR38" s="430" t="s">
        <v>1975</v>
      </c>
      <c r="BS38" s="430">
        <v>0</v>
      </c>
      <c r="BT38" s="430">
        <v>1</v>
      </c>
      <c r="BU38" s="430">
        <v>692580096</v>
      </c>
      <c r="BV38" s="430">
        <v>13440071156</v>
      </c>
      <c r="BW38" s="594">
        <v>3648020691</v>
      </c>
      <c r="BX38" s="594">
        <v>3710762358</v>
      </c>
      <c r="BY38" s="430">
        <v>2351487916</v>
      </c>
      <c r="BZ38" s="430">
        <v>359161793</v>
      </c>
      <c r="CA38" s="430">
        <v>832699239</v>
      </c>
      <c r="CB38" s="430">
        <v>7065209572</v>
      </c>
      <c r="CC38" s="430">
        <v>659736393</v>
      </c>
      <c r="CD38" s="430">
        <v>7587719778</v>
      </c>
      <c r="CE38" s="430" t="s">
        <v>1974</v>
      </c>
      <c r="CF38" s="430" t="s">
        <v>1964</v>
      </c>
      <c r="CG38" s="430">
        <v>0</v>
      </c>
      <c r="CH38" s="430">
        <v>13</v>
      </c>
      <c r="CI38" s="430">
        <v>2</v>
      </c>
      <c r="CJ38" s="430" t="s">
        <v>1975</v>
      </c>
      <c r="CK38" s="430">
        <v>0</v>
      </c>
      <c r="CL38" s="430">
        <v>1</v>
      </c>
      <c r="CM38" s="430">
        <v>690420864</v>
      </c>
      <c r="CN38" s="430">
        <v>13372936262</v>
      </c>
      <c r="CO38" s="430">
        <v>681130</v>
      </c>
      <c r="CP38" s="430">
        <v>31678631</v>
      </c>
      <c r="CQ38" s="430">
        <v>7637183</v>
      </c>
      <c r="CR38" s="430">
        <v>11190614</v>
      </c>
      <c r="CS38" s="430">
        <v>4193272</v>
      </c>
      <c r="CT38" s="430">
        <v>16237578</v>
      </c>
      <c r="CU38" s="430">
        <v>95832</v>
      </c>
      <c r="CV38" s="430">
        <v>199994</v>
      </c>
      <c r="CW38" s="430" t="s">
        <v>1974</v>
      </c>
      <c r="CX38" s="430" t="s">
        <v>1964</v>
      </c>
      <c r="CY38" s="430">
        <v>0</v>
      </c>
      <c r="CZ38" s="430">
        <v>9</v>
      </c>
      <c r="DA38" s="430">
        <v>2</v>
      </c>
      <c r="DB38" s="430" t="s">
        <v>1975</v>
      </c>
      <c r="DC38" s="430">
        <v>0</v>
      </c>
      <c r="DD38" s="430">
        <v>1</v>
      </c>
      <c r="DE38" s="430">
        <v>688327360</v>
      </c>
      <c r="DF38" s="430">
        <v>13317639458</v>
      </c>
      <c r="DG38" s="430">
        <v>938819297</v>
      </c>
      <c r="DH38" s="430">
        <v>480895363</v>
      </c>
      <c r="DI38" s="430">
        <v>34958988</v>
      </c>
      <c r="DJ38" s="430">
        <v>3887305009</v>
      </c>
      <c r="DK38" s="430">
        <v>535608091</v>
      </c>
      <c r="DL38" s="430">
        <v>438927575</v>
      </c>
      <c r="DM38" s="430">
        <v>144324962</v>
      </c>
      <c r="DN38" s="430">
        <v>13326323</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5</v>
      </c>
      <c r="NB38" s="424">
        <f t="shared" si="101"/>
        <v>2</v>
      </c>
      <c r="NC38" s="207">
        <f t="shared" si="102"/>
        <v>8.0682678400000007</v>
      </c>
      <c r="ND38" s="208">
        <f t="shared" si="103"/>
        <v>0.81018567759892302</v>
      </c>
      <c r="NE38" s="209">
        <f t="shared" si="15"/>
        <v>1.5127166576301134E-2</v>
      </c>
      <c r="NF38" s="208">
        <f t="shared" si="16"/>
        <v>0.55668042671225937</v>
      </c>
      <c r="NG38" s="210"/>
      <c r="NH38" s="211">
        <f t="shared" si="104"/>
        <v>16756485000</v>
      </c>
      <c r="NI38" s="208">
        <f t="shared" si="17"/>
        <v>6536795047</v>
      </c>
      <c r="NJ38" s="212">
        <f t="shared" si="105"/>
        <v>7.2847186507194087E-2</v>
      </c>
      <c r="NK38" s="213">
        <f t="shared" si="106"/>
        <v>0.92080030729468887</v>
      </c>
      <c r="NL38" s="214">
        <f t="shared" si="18"/>
        <v>0.6136332212517156</v>
      </c>
      <c r="NM38" s="208">
        <f t="shared" si="107"/>
        <v>1.2263480878608086</v>
      </c>
      <c r="NN38" s="208">
        <f t="shared" si="19"/>
        <v>2.0768379697221357</v>
      </c>
      <c r="NO38" s="215">
        <f t="shared" si="20"/>
        <v>7.9360432839990266E-2</v>
      </c>
      <c r="NP38" s="216" t="str">
        <f t="shared" si="108"/>
        <v/>
      </c>
      <c r="NQ38" s="215" t="str">
        <f t="shared" si="109"/>
        <v/>
      </c>
      <c r="NR38" s="215" t="str">
        <f t="shared" si="110"/>
        <v/>
      </c>
      <c r="NS38" s="215" t="str">
        <f t="shared" si="21"/>
        <v/>
      </c>
      <c r="NT38" s="215" t="str">
        <f t="shared" si="22"/>
        <v/>
      </c>
      <c r="NU38" s="215">
        <f t="shared" si="23"/>
        <v>1.8405798464458902</v>
      </c>
      <c r="NV38" s="215" t="str">
        <f t="shared" si="111"/>
        <v/>
      </c>
      <c r="NW38" s="215" t="str">
        <f t="shared" si="24"/>
        <v/>
      </c>
      <c r="NX38" s="215">
        <f t="shared" si="25"/>
        <v>1.5454112802129729</v>
      </c>
      <c r="NY38" s="215" t="str">
        <f t="shared" si="26"/>
        <v/>
      </c>
      <c r="NZ38" s="215">
        <f t="shared" si="27"/>
        <v>0.52926366772147848</v>
      </c>
      <c r="OA38" s="215">
        <f t="shared" si="28"/>
        <v>0</v>
      </c>
      <c r="OB38" s="215">
        <f t="shared" si="29"/>
        <v>0.37335818135587523</v>
      </c>
      <c r="OC38" s="215">
        <f t="shared" si="30"/>
        <v>9.3670475893089242E-4</v>
      </c>
      <c r="OD38" s="215">
        <f t="shared" si="31"/>
        <v>1.3202340936721682</v>
      </c>
      <c r="OE38" s="215" t="str">
        <f t="shared" si="32"/>
        <v/>
      </c>
      <c r="OF38" s="215" t="str">
        <f t="shared" si="33"/>
        <v/>
      </c>
      <c r="OG38" s="215" t="str">
        <f t="shared" si="34"/>
        <v/>
      </c>
      <c r="OH38" s="215">
        <f t="shared" si="35"/>
        <v>2.3791236329926946</v>
      </c>
      <c r="OI38" s="215">
        <f t="shared" si="112"/>
        <v>8.0682678400000007</v>
      </c>
      <c r="OJ38" s="218">
        <f t="shared" si="113"/>
        <v>6.1956460597179297E-2</v>
      </c>
      <c r="OK38" s="218">
        <f t="shared" si="114"/>
        <v>4.9087269356120664E-2</v>
      </c>
      <c r="OL38" s="218" t="str">
        <f t="shared" si="115"/>
        <v/>
      </c>
      <c r="OM38" s="218" t="str">
        <f t="shared" si="116"/>
        <v/>
      </c>
      <c r="ON38" s="217">
        <f t="shared" si="36"/>
        <v>0.27376280094003991</v>
      </c>
      <c r="OO38" s="210"/>
      <c r="OP38" s="210"/>
      <c r="OQ38" s="218" t="str">
        <f t="shared" si="117"/>
        <v/>
      </c>
      <c r="OR38" s="218" t="str">
        <f t="shared" si="118"/>
        <v/>
      </c>
      <c r="OS38" s="218">
        <f t="shared" si="37"/>
        <v>0.53029422577627694</v>
      </c>
      <c r="OT38" s="218">
        <f t="shared" si="38"/>
        <v>0.71882117032916204</v>
      </c>
      <c r="OU38" s="209" t="str">
        <f t="shared" si="39"/>
        <v/>
      </c>
      <c r="OV38" s="209" t="str">
        <f t="shared" si="40"/>
        <v/>
      </c>
      <c r="OW38" s="209">
        <f t="shared" si="119"/>
        <v>2.6723206211572828E-2</v>
      </c>
      <c r="OX38" s="219" t="str">
        <f t="shared" si="41"/>
        <v/>
      </c>
      <c r="OY38" s="208">
        <f t="shared" si="120"/>
        <v>4422913100</v>
      </c>
      <c r="OZ38" s="208">
        <f t="shared" si="42"/>
        <v>31678631</v>
      </c>
      <c r="PA38" s="209">
        <f t="shared" si="121"/>
        <v>7.1623905520549341E-3</v>
      </c>
      <c r="PB38" s="209">
        <f>IF(OR($CQ38="",$OZ38=""),"",IF($OZ38=0,0,
GuardLimitUpper(
  ($OZ38-$CQ38)/$OZ38,
  data_GuardLimitFlag,
  1)
))</f>
        <v>0.75891688627579901</v>
      </c>
      <c r="PC38" s="209" t="str">
        <f t="shared" si="43"/>
        <v/>
      </c>
      <c r="PD38" s="209" t="str">
        <f t="shared" si="44"/>
        <v/>
      </c>
      <c r="PE38" s="208">
        <f t="shared" si="122"/>
        <v>10300911</v>
      </c>
      <c r="PF38" s="209">
        <f t="shared" si="123"/>
        <v>2.3289878790519309E-3</v>
      </c>
      <c r="PG38" s="209">
        <f t="shared" si="45"/>
        <v>0.3409545039268857</v>
      </c>
      <c r="PH38" s="209" t="str">
        <f t="shared" si="46"/>
        <v/>
      </c>
      <c r="PI38" s="209" t="str">
        <f t="shared" si="47"/>
        <v/>
      </c>
      <c r="PJ38" s="220" t="str">
        <f t="shared" si="48"/>
        <v/>
      </c>
      <c r="PK38" s="220" t="str">
        <f t="shared" si="49"/>
        <v/>
      </c>
      <c r="PL38" s="221">
        <f t="shared" si="124"/>
        <v>422689997</v>
      </c>
      <c r="PM38" s="221" t="str">
        <f t="shared" si="50"/>
        <v/>
      </c>
      <c r="PN38" s="221">
        <f t="shared" si="125"/>
        <v>16237578</v>
      </c>
      <c r="PO38" s="221" t="str">
        <f t="shared" si="51"/>
        <v/>
      </c>
      <c r="PP38" s="221" t="str">
        <f t="shared" si="52"/>
        <v/>
      </c>
      <c r="PQ38" s="529" t="str">
        <f t="shared" si="126"/>
        <v/>
      </c>
      <c r="PR38" s="221" t="str">
        <f t="shared" si="53"/>
        <v/>
      </c>
      <c r="PS38" s="221">
        <f t="shared" si="54"/>
        <v>3448377434</v>
      </c>
      <c r="PT38" s="221">
        <f t="shared" si="127"/>
        <v>144229130</v>
      </c>
      <c r="PU38" s="221" t="str">
        <f t="shared" si="55"/>
        <v/>
      </c>
      <c r="PV38" s="221">
        <f t="shared" si="128"/>
        <v>95832</v>
      </c>
      <c r="PW38" s="221" t="str">
        <f t="shared" si="56"/>
        <v/>
      </c>
      <c r="PX38" s="221" t="str">
        <f t="shared" si="162"/>
        <v/>
      </c>
      <c r="PY38" s="221">
        <f t="shared" si="57"/>
        <v>391283129</v>
      </c>
      <c r="PZ38" s="221" t="str">
        <f t="shared" si="58"/>
        <v/>
      </c>
      <c r="QA38" s="221" t="str">
        <f t="shared" si="59"/>
        <v/>
      </c>
      <c r="QB38" s="221" t="str">
        <f t="shared" si="60"/>
        <v/>
      </c>
      <c r="QC38" s="221" t="str">
        <f t="shared" si="61"/>
        <v/>
      </c>
      <c r="QD38" s="221">
        <f t="shared" si="129"/>
        <v>422964946</v>
      </c>
      <c r="QE38" s="221">
        <f t="shared" si="130"/>
        <v>480895363</v>
      </c>
      <c r="QF38" s="221">
        <f t="shared" si="131"/>
        <v>34958988</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11394752603</v>
      </c>
      <c r="QN38" s="222">
        <f t="shared" si="133"/>
        <v>16756485000</v>
      </c>
      <c r="QO38" s="222" t="str">
        <f t="shared" si="134"/>
        <v/>
      </c>
      <c r="QP38" s="222" t="str">
        <f t="shared" si="135"/>
        <v/>
      </c>
      <c r="QQ38" s="222" t="str">
        <f t="shared" si="136"/>
        <v/>
      </c>
      <c r="QR38" s="222">
        <f t="shared" si="67"/>
        <v>0.49715684715703107</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8.0682678400000007</v>
      </c>
      <c r="RV38" s="208">
        <f t="shared" si="139"/>
        <v>1</v>
      </c>
      <c r="RW38" s="208">
        <f t="shared" si="140"/>
        <v>0.9922147859772068</v>
      </c>
      <c r="RX38" s="208">
        <f t="shared" si="141"/>
        <v>0.98363144554921911</v>
      </c>
      <c r="RY38" s="208">
        <f t="shared" si="142"/>
        <v>0.9787180792384661</v>
      </c>
      <c r="RZ38" s="208">
        <f t="shared" si="85"/>
        <v>0.97467110101778243</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1</v>
      </c>
      <c r="SN38" s="225">
        <f t="shared" si="98"/>
        <v>8.0682678400000007</v>
      </c>
      <c r="SO38" s="209">
        <f t="shared" si="144"/>
        <v>0.87670103831668422</v>
      </c>
      <c r="SP38" s="209">
        <f t="shared" si="145"/>
        <v>1</v>
      </c>
      <c r="SQ38" s="222">
        <f t="shared" si="146"/>
        <v>13663726609</v>
      </c>
      <c r="SR38" s="222">
        <f t="shared" si="147"/>
        <v>13557351573</v>
      </c>
      <c r="SS38" s="222">
        <f t="shared" si="148"/>
        <v>13440071156</v>
      </c>
      <c r="ST38" s="222">
        <f t="shared" si="149"/>
        <v>13372936262</v>
      </c>
      <c r="SU38" s="222">
        <f t="shared" si="150"/>
        <v>13317639458</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13</v>
      </c>
      <c r="AG39" s="430">
        <v>0</v>
      </c>
      <c r="AH39" s="430" t="s">
        <v>1975</v>
      </c>
      <c r="AI39" s="430">
        <v>0</v>
      </c>
      <c r="AJ39" s="430">
        <v>1</v>
      </c>
      <c r="AK39" s="594">
        <v>912818688</v>
      </c>
      <c r="AL39" s="594">
        <v>15564090665</v>
      </c>
      <c r="AM39" s="430">
        <v>2665317652</v>
      </c>
      <c r="AN39" s="430">
        <v>1450000662</v>
      </c>
      <c r="AO39" s="430">
        <v>36771608</v>
      </c>
      <c r="AP39" s="430">
        <v>21497222</v>
      </c>
      <c r="AQ39" s="595">
        <v>3668095</v>
      </c>
      <c r="AR39" s="595">
        <v>1572105</v>
      </c>
      <c r="AS39" s="594">
        <v>8114897037</v>
      </c>
      <c r="AT39" s="594">
        <v>2194953291</v>
      </c>
      <c r="AU39" s="430" t="s">
        <v>1974</v>
      </c>
      <c r="AV39" s="430" t="s">
        <v>1964</v>
      </c>
      <c r="AW39" s="430">
        <v>0</v>
      </c>
      <c r="AX39" s="430">
        <v>5</v>
      </c>
      <c r="AY39" s="430">
        <v>0</v>
      </c>
      <c r="AZ39" s="430" t="s">
        <v>1975</v>
      </c>
      <c r="BA39" s="430">
        <v>0</v>
      </c>
      <c r="BB39" s="430">
        <v>1</v>
      </c>
      <c r="BC39" s="430">
        <v>769330688</v>
      </c>
      <c r="BD39" s="430">
        <v>15612020566</v>
      </c>
      <c r="BE39" s="430">
        <v>12254933978</v>
      </c>
      <c r="BF39" s="595">
        <v>1179658699</v>
      </c>
      <c r="BG39" s="430">
        <v>7142964368</v>
      </c>
      <c r="BH39" s="595">
        <v>134646927</v>
      </c>
      <c r="BI39" s="430">
        <v>3564648565</v>
      </c>
      <c r="BJ39" s="430">
        <v>971326146</v>
      </c>
      <c r="BK39" s="430">
        <v>0</v>
      </c>
      <c r="BL39" s="430">
        <v>575373444</v>
      </c>
      <c r="BM39" s="430" t="s">
        <v>1974</v>
      </c>
      <c r="BN39" s="430" t="s">
        <v>1964</v>
      </c>
      <c r="BO39" s="430">
        <v>0</v>
      </c>
      <c r="BP39" s="430">
        <v>13</v>
      </c>
      <c r="BQ39" s="430">
        <v>0</v>
      </c>
      <c r="BR39" s="430" t="s">
        <v>1975</v>
      </c>
      <c r="BS39" s="430">
        <v>0</v>
      </c>
      <c r="BT39" s="430">
        <v>1</v>
      </c>
      <c r="BU39" s="430">
        <v>785007872</v>
      </c>
      <c r="BV39" s="430">
        <v>15635654356</v>
      </c>
      <c r="BW39" s="594">
        <v>4468719853</v>
      </c>
      <c r="BX39" s="594">
        <v>4439600232</v>
      </c>
      <c r="BY39" s="430">
        <v>2416445238</v>
      </c>
      <c r="BZ39" s="430">
        <v>1664219190</v>
      </c>
      <c r="CA39" s="430">
        <v>1809812777</v>
      </c>
      <c r="CB39" s="430">
        <v>16882530975</v>
      </c>
      <c r="CC39" s="430">
        <v>1421872163</v>
      </c>
      <c r="CD39" s="430">
        <v>17390199669</v>
      </c>
      <c r="CE39" s="430" t="s">
        <v>1974</v>
      </c>
      <c r="CF39" s="430" t="s">
        <v>1964</v>
      </c>
      <c r="CG39" s="430">
        <v>0</v>
      </c>
      <c r="CH39" s="430">
        <v>9</v>
      </c>
      <c r="CI39" s="430">
        <v>0</v>
      </c>
      <c r="CJ39" s="430" t="s">
        <v>1975</v>
      </c>
      <c r="CK39" s="430">
        <v>0</v>
      </c>
      <c r="CL39" s="430">
        <v>1</v>
      </c>
      <c r="CM39" s="430">
        <v>769430528</v>
      </c>
      <c r="CN39" s="430">
        <v>15177478531</v>
      </c>
      <c r="CO39" s="430">
        <v>3659257</v>
      </c>
      <c r="CP39" s="430">
        <v>134186565</v>
      </c>
      <c r="CQ39" s="430">
        <v>13228593</v>
      </c>
      <c r="CR39" s="430">
        <v>36827388</v>
      </c>
      <c r="CS39" s="430">
        <v>20677316</v>
      </c>
      <c r="CT39" s="430">
        <v>32850788</v>
      </c>
      <c r="CU39" s="430">
        <v>607329</v>
      </c>
      <c r="CV39" s="430">
        <v>1609715</v>
      </c>
      <c r="CW39" s="430" t="s">
        <v>1974</v>
      </c>
      <c r="CX39" s="430" t="s">
        <v>1964</v>
      </c>
      <c r="CY39" s="430">
        <v>0</v>
      </c>
      <c r="CZ39" s="430">
        <v>13</v>
      </c>
      <c r="DA39" s="430">
        <v>0</v>
      </c>
      <c r="DB39" s="430" t="s">
        <v>1975</v>
      </c>
      <c r="DC39" s="430">
        <v>0</v>
      </c>
      <c r="DD39" s="430">
        <v>1</v>
      </c>
      <c r="DE39" s="430">
        <v>790711040</v>
      </c>
      <c r="DF39" s="430">
        <v>15460709776</v>
      </c>
      <c r="DG39" s="430">
        <v>2065998994</v>
      </c>
      <c r="DH39" s="430">
        <v>1008870044</v>
      </c>
      <c r="DI39" s="430">
        <v>84950461</v>
      </c>
      <c r="DJ39" s="430">
        <v>2017939065</v>
      </c>
      <c r="DK39" s="430">
        <v>575400843</v>
      </c>
      <c r="DL39" s="430">
        <v>881996709</v>
      </c>
      <c r="DM39" s="430">
        <v>304089254</v>
      </c>
      <c r="DN39" s="430">
        <v>35090620</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13</v>
      </c>
      <c r="NB39" s="424">
        <f t="shared" si="101"/>
        <v>0</v>
      </c>
      <c r="NC39" s="207">
        <f t="shared" si="102"/>
        <v>9.1281868799999994</v>
      </c>
      <c r="ND39" s="208">
        <f t="shared" si="103"/>
        <v>1.326799224119303</v>
      </c>
      <c r="NE39" s="209">
        <f t="shared" si="15"/>
        <v>2.4772979122565614E-2</v>
      </c>
      <c r="NF39" s="208">
        <f t="shared" si="16"/>
        <v>1.4871879222525297</v>
      </c>
      <c r="NG39" s="210"/>
      <c r="NH39" s="211">
        <f t="shared" si="104"/>
        <v>8114897037</v>
      </c>
      <c r="NI39" s="208">
        <f t="shared" si="17"/>
        <v>12111271270</v>
      </c>
      <c r="NJ39" s="212">
        <f t="shared" si="105"/>
        <v>0.27048442894494856</v>
      </c>
      <c r="NK39" s="213">
        <f t="shared" si="106"/>
        <v>0.88027675793277815</v>
      </c>
      <c r="NL39" s="214">
        <f t="shared" si="18"/>
        <v>0.66282626710820391</v>
      </c>
      <c r="NM39" s="208">
        <f t="shared" si="107"/>
        <v>0.52138587545294279</v>
      </c>
      <c r="NN39" s="208">
        <f t="shared" si="19"/>
        <v>0.88899330652178765</v>
      </c>
      <c r="NO39" s="215">
        <f t="shared" si="20"/>
        <v>7.8726664961640144E-2</v>
      </c>
      <c r="NP39" s="216" t="str">
        <f t="shared" si="108"/>
        <v/>
      </c>
      <c r="NQ39" s="215" t="str">
        <f t="shared" si="109"/>
        <v/>
      </c>
      <c r="NR39" s="215" t="str">
        <f t="shared" si="110"/>
        <v/>
      </c>
      <c r="NS39" s="215" t="str">
        <f t="shared" si="21"/>
        <v/>
      </c>
      <c r="NT39" s="215" t="str">
        <f t="shared" si="22"/>
        <v/>
      </c>
      <c r="NU39" s="215">
        <f t="shared" si="23"/>
        <v>4.0976906893866678</v>
      </c>
      <c r="NV39" s="215" t="str">
        <f t="shared" si="111"/>
        <v/>
      </c>
      <c r="NW39" s="215" t="str">
        <f t="shared" si="24"/>
        <v/>
      </c>
      <c r="NX39" s="215">
        <f t="shared" si="25"/>
        <v>2.0842131308555327</v>
      </c>
      <c r="NY39" s="215" t="str">
        <f t="shared" si="26"/>
        <v/>
      </c>
      <c r="NZ39" s="215">
        <f t="shared" si="27"/>
        <v>0.33677825735441225</v>
      </c>
      <c r="OA39" s="215">
        <f t="shared" si="28"/>
        <v>0</v>
      </c>
      <c r="OB39" s="215">
        <f t="shared" si="29"/>
        <v>0.23150944775004145</v>
      </c>
      <c r="OC39" s="215">
        <f t="shared" si="30"/>
        <v>0.33641489904640026</v>
      </c>
      <c r="OD39" s="215">
        <f t="shared" si="31"/>
        <v>0.68973423482035578</v>
      </c>
      <c r="OE39" s="215" t="str">
        <f t="shared" si="32"/>
        <v/>
      </c>
      <c r="OF39" s="215" t="str">
        <f t="shared" si="33"/>
        <v/>
      </c>
      <c r="OG39" s="215" t="str">
        <f t="shared" si="34"/>
        <v/>
      </c>
      <c r="OH39" s="215">
        <f t="shared" si="35"/>
        <v>1.2731195558249493</v>
      </c>
      <c r="OI39" s="215">
        <f t="shared" si="112"/>
        <v>9.1281868799999994</v>
      </c>
      <c r="OJ39" s="218">
        <f t="shared" si="113"/>
        <v>0.11574909087866256</v>
      </c>
      <c r="OK39" s="218">
        <f t="shared" si="114"/>
        <v>9.0937809868787051E-2</v>
      </c>
      <c r="OL39" s="218" t="str">
        <f t="shared" si="115"/>
        <v/>
      </c>
      <c r="OM39" s="218" t="str">
        <f t="shared" si="116"/>
        <v/>
      </c>
      <c r="ON39" s="217">
        <f t="shared" si="36"/>
        <v>0.28487199455076007</v>
      </c>
      <c r="OO39" s="210"/>
      <c r="OP39" s="210"/>
      <c r="OQ39" s="218" t="str">
        <f t="shared" si="117"/>
        <v/>
      </c>
      <c r="OR39" s="218" t="str">
        <f t="shared" si="118"/>
        <v/>
      </c>
      <c r="OS39" s="218">
        <f t="shared" si="37"/>
        <v>0.58302063028119511</v>
      </c>
      <c r="OT39" s="218">
        <f t="shared" si="38"/>
        <v>0.76440590623792948</v>
      </c>
      <c r="OU39" s="209" t="str">
        <f t="shared" si="39"/>
        <v/>
      </c>
      <c r="OV39" s="209" t="str">
        <f t="shared" si="40"/>
        <v/>
      </c>
      <c r="OW39" s="209">
        <f t="shared" si="119"/>
        <v>0.10643745072053062</v>
      </c>
      <c r="OX39" s="219" t="str">
        <f t="shared" si="41"/>
        <v/>
      </c>
      <c r="OY39" s="208">
        <f t="shared" si="120"/>
        <v>2593339908</v>
      </c>
      <c r="OZ39" s="208">
        <f t="shared" si="42"/>
        <v>134186565</v>
      </c>
      <c r="PA39" s="209">
        <f t="shared" si="121"/>
        <v>5.1742760208971422E-2</v>
      </c>
      <c r="PB39" s="209">
        <f>IF(OR($CQ39="",$OZ39=""),"",IF($OZ39=0,0,
GuardLimitUpper(
  ($OZ39-$CQ39)/$OZ39,
  data_GuardLimitFlag,
  1)
))</f>
        <v>0.90141641229134972</v>
      </c>
      <c r="PC39" s="209" t="str">
        <f t="shared" si="43"/>
        <v/>
      </c>
      <c r="PD39" s="209" t="str">
        <f t="shared" si="44"/>
        <v/>
      </c>
      <c r="PE39" s="208">
        <f t="shared" si="122"/>
        <v>31531408</v>
      </c>
      <c r="PF39" s="209">
        <f t="shared" si="123"/>
        <v>1.2158609792233993E-2</v>
      </c>
      <c r="PG39" s="209">
        <f t="shared" si="45"/>
        <v>0.53971769988831453</v>
      </c>
      <c r="PH39" s="209" t="str">
        <f t="shared" si="46"/>
        <v/>
      </c>
      <c r="PI39" s="209" t="str">
        <f t="shared" si="47"/>
        <v/>
      </c>
      <c r="PJ39" s="220" t="str">
        <f t="shared" si="48"/>
        <v/>
      </c>
      <c r="PK39" s="220" t="str">
        <f t="shared" si="49"/>
        <v/>
      </c>
      <c r="PL39" s="221">
        <f t="shared" si="124"/>
        <v>849145921</v>
      </c>
      <c r="PM39" s="221" t="str">
        <f t="shared" si="50"/>
        <v/>
      </c>
      <c r="PN39" s="221">
        <f t="shared" si="125"/>
        <v>32850788</v>
      </c>
      <c r="PO39" s="221" t="str">
        <f t="shared" si="51"/>
        <v/>
      </c>
      <c r="PP39" s="221" t="str">
        <f t="shared" si="52"/>
        <v/>
      </c>
      <c r="PQ39" s="529" t="str">
        <f t="shared" si="126"/>
        <v/>
      </c>
      <c r="PR39" s="221" t="str">
        <f t="shared" si="53"/>
        <v/>
      </c>
      <c r="PS39" s="221">
        <f t="shared" si="54"/>
        <v>1135942356</v>
      </c>
      <c r="PT39" s="221">
        <f t="shared" si="127"/>
        <v>303481925</v>
      </c>
      <c r="PU39" s="221" t="str">
        <f t="shared" si="55"/>
        <v/>
      </c>
      <c r="PV39" s="221">
        <f t="shared" si="128"/>
        <v>607329</v>
      </c>
      <c r="PW39" s="221" t="str">
        <f t="shared" si="56"/>
        <v/>
      </c>
      <c r="PX39" s="221" t="str">
        <f t="shared" si="162"/>
        <v/>
      </c>
      <c r="PY39" s="221">
        <f t="shared" si="57"/>
        <v>271311589</v>
      </c>
      <c r="PZ39" s="221" t="str">
        <f t="shared" si="58"/>
        <v/>
      </c>
      <c r="QA39" s="221" t="str">
        <f t="shared" si="59"/>
        <v/>
      </c>
      <c r="QB39" s="221" t="str">
        <f t="shared" si="60"/>
        <v/>
      </c>
      <c r="QC39" s="221" t="str">
        <f t="shared" si="61"/>
        <v/>
      </c>
      <c r="QD39" s="221">
        <f t="shared" si="129"/>
        <v>972178489</v>
      </c>
      <c r="QE39" s="221">
        <f t="shared" si="130"/>
        <v>1008870044</v>
      </c>
      <c r="QF39" s="221">
        <f t="shared" si="131"/>
        <v>84950461</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3455558135</v>
      </c>
      <c r="QN39" s="222">
        <f t="shared" si="133"/>
        <v>8114897037</v>
      </c>
      <c r="QO39" s="222" t="str">
        <f t="shared" si="134"/>
        <v/>
      </c>
      <c r="QP39" s="222" t="str">
        <f t="shared" si="135"/>
        <v/>
      </c>
      <c r="QQ39" s="222" t="str">
        <f t="shared" si="136"/>
        <v/>
      </c>
      <c r="QR39" s="222">
        <f t="shared" si="67"/>
        <v>0.87943737692505863</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9.1281868799999994</v>
      </c>
      <c r="RV39" s="208">
        <f t="shared" si="139"/>
        <v>1</v>
      </c>
      <c r="RW39" s="208">
        <f t="shared" si="140"/>
        <v>1.0030795182340966</v>
      </c>
      <c r="RX39" s="208">
        <f t="shared" si="141"/>
        <v>1.0045980001363606</v>
      </c>
      <c r="RY39" s="208">
        <f t="shared" si="142"/>
        <v>0.97515999216906391</v>
      </c>
      <c r="RZ39" s="208">
        <f t="shared" si="85"/>
        <v>0.99335773022496721</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1</v>
      </c>
      <c r="SN39" s="225">
        <f t="shared" si="98"/>
        <v>9.1281868799999994</v>
      </c>
      <c r="SO39" s="209">
        <f t="shared" si="144"/>
        <v>0.95542819491755349</v>
      </c>
      <c r="SP39" s="209">
        <f t="shared" si="145"/>
        <v>0.48428396749079533</v>
      </c>
      <c r="SQ39" s="222">
        <f t="shared" si="146"/>
        <v>15564090665</v>
      </c>
      <c r="SR39" s="222">
        <f t="shared" si="147"/>
        <v>15612020566</v>
      </c>
      <c r="SS39" s="222">
        <f t="shared" si="148"/>
        <v>15635654356</v>
      </c>
      <c r="ST39" s="222">
        <f t="shared" si="149"/>
        <v>15177478531</v>
      </c>
      <c r="SU39" s="222">
        <f t="shared" si="150"/>
        <v>15460709776</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13</v>
      </c>
      <c r="AG40" s="430">
        <v>1</v>
      </c>
      <c r="AH40" s="430" t="s">
        <v>1975</v>
      </c>
      <c r="AI40" s="430">
        <v>0</v>
      </c>
      <c r="AJ40" s="430">
        <v>1</v>
      </c>
      <c r="AK40" s="594">
        <v>807054016</v>
      </c>
      <c r="AL40" s="594">
        <v>13693026441</v>
      </c>
      <c r="AM40" s="430">
        <v>1505295664</v>
      </c>
      <c r="AN40" s="430">
        <v>518592291</v>
      </c>
      <c r="AO40" s="430">
        <v>10543884</v>
      </c>
      <c r="AP40" s="430">
        <v>6985195</v>
      </c>
      <c r="AQ40" s="595">
        <v>674002</v>
      </c>
      <c r="AR40" s="595">
        <v>181636</v>
      </c>
      <c r="AS40" s="594">
        <v>16508284133</v>
      </c>
      <c r="AT40" s="594">
        <v>1221383195</v>
      </c>
      <c r="AU40" s="430" t="s">
        <v>1974</v>
      </c>
      <c r="AV40" s="430" t="s">
        <v>1964</v>
      </c>
      <c r="AW40" s="430">
        <v>0</v>
      </c>
      <c r="AX40" s="430">
        <v>5</v>
      </c>
      <c r="AY40" s="430">
        <v>1</v>
      </c>
      <c r="AZ40" s="430" t="s">
        <v>1975</v>
      </c>
      <c r="BA40" s="430">
        <v>0</v>
      </c>
      <c r="BB40" s="430">
        <v>1</v>
      </c>
      <c r="BC40" s="430">
        <v>698651904</v>
      </c>
      <c r="BD40" s="430">
        <v>13585962426</v>
      </c>
      <c r="BE40" s="430">
        <v>7366986982</v>
      </c>
      <c r="BF40" s="595">
        <v>2213292652</v>
      </c>
      <c r="BG40" s="430">
        <v>3241878673</v>
      </c>
      <c r="BH40" s="595">
        <v>132342860</v>
      </c>
      <c r="BI40" s="430">
        <v>2603756978</v>
      </c>
      <c r="BJ40" s="430">
        <v>630432179</v>
      </c>
      <c r="BK40" s="430">
        <v>0</v>
      </c>
      <c r="BL40" s="430">
        <v>1040345</v>
      </c>
      <c r="BM40" s="430" t="s">
        <v>1974</v>
      </c>
      <c r="BN40" s="430" t="s">
        <v>1964</v>
      </c>
      <c r="BO40" s="430">
        <v>0</v>
      </c>
      <c r="BP40" s="430">
        <v>13</v>
      </c>
      <c r="BQ40" s="430">
        <v>1</v>
      </c>
      <c r="BR40" s="430" t="s">
        <v>1975</v>
      </c>
      <c r="BS40" s="430">
        <v>0</v>
      </c>
      <c r="BT40" s="430">
        <v>1</v>
      </c>
      <c r="BU40" s="430">
        <v>692696288</v>
      </c>
      <c r="BV40" s="430">
        <v>13440185003</v>
      </c>
      <c r="BW40" s="594">
        <v>3658271818</v>
      </c>
      <c r="BX40" s="594">
        <v>3721675744</v>
      </c>
      <c r="BY40" s="430">
        <v>2353486299</v>
      </c>
      <c r="BZ40" s="430">
        <v>367071175</v>
      </c>
      <c r="CA40" s="430">
        <v>832443570</v>
      </c>
      <c r="CB40" s="430">
        <v>7080980010</v>
      </c>
      <c r="CC40" s="430">
        <v>661070180</v>
      </c>
      <c r="CD40" s="430">
        <v>7603890302</v>
      </c>
      <c r="CE40" s="430" t="s">
        <v>1974</v>
      </c>
      <c r="CF40" s="430" t="s">
        <v>1964</v>
      </c>
      <c r="CG40" s="430">
        <v>0</v>
      </c>
      <c r="CH40" s="430">
        <v>9</v>
      </c>
      <c r="CI40" s="430">
        <v>1</v>
      </c>
      <c r="CJ40" s="430" t="s">
        <v>1975</v>
      </c>
      <c r="CK40" s="430">
        <v>0</v>
      </c>
      <c r="CL40" s="430">
        <v>1</v>
      </c>
      <c r="CM40" s="430">
        <v>690255296</v>
      </c>
      <c r="CN40" s="430">
        <v>13364699559</v>
      </c>
      <c r="CO40" s="430">
        <v>674973</v>
      </c>
      <c r="CP40" s="430">
        <v>32644971</v>
      </c>
      <c r="CQ40" s="430">
        <v>7793433</v>
      </c>
      <c r="CR40" s="430">
        <v>10531446</v>
      </c>
      <c r="CS40" s="430">
        <v>3898819</v>
      </c>
      <c r="CT40" s="430">
        <v>16240802</v>
      </c>
      <c r="CU40" s="430">
        <v>97350</v>
      </c>
      <c r="CV40" s="430">
        <v>185438</v>
      </c>
      <c r="CW40" s="430" t="s">
        <v>1974</v>
      </c>
      <c r="CX40" s="430" t="s">
        <v>1964</v>
      </c>
      <c r="CY40" s="430">
        <v>0</v>
      </c>
      <c r="CZ40" s="430">
        <v>13</v>
      </c>
      <c r="DA40" s="430">
        <v>1</v>
      </c>
      <c r="DB40" s="430" t="s">
        <v>1975</v>
      </c>
      <c r="DC40" s="430">
        <v>0</v>
      </c>
      <c r="DD40" s="430">
        <v>1</v>
      </c>
      <c r="DE40" s="430">
        <v>688416128</v>
      </c>
      <c r="DF40" s="430">
        <v>13299993516</v>
      </c>
      <c r="DG40" s="430">
        <v>939764193</v>
      </c>
      <c r="DH40" s="430">
        <v>481114532</v>
      </c>
      <c r="DI40" s="430">
        <v>34969510</v>
      </c>
      <c r="DJ40" s="430">
        <v>4046559662</v>
      </c>
      <c r="DK40" s="430">
        <v>554230257</v>
      </c>
      <c r="DL40" s="430">
        <v>439513429</v>
      </c>
      <c r="DM40" s="430">
        <v>144482434</v>
      </c>
      <c r="DN40" s="430">
        <v>13381856</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13</v>
      </c>
      <c r="NB40" s="424">
        <f t="shared" si="101"/>
        <v>1</v>
      </c>
      <c r="NC40" s="207">
        <f t="shared" si="102"/>
        <v>8.0705401600000002</v>
      </c>
      <c r="ND40" s="208">
        <f t="shared" si="103"/>
        <v>0.81032679564783916</v>
      </c>
      <c r="NE40" s="209">
        <f t="shared" si="15"/>
        <v>1.5129801424450022E-2</v>
      </c>
      <c r="NF40" s="208">
        <f t="shared" si="16"/>
        <v>0.52888664344370229</v>
      </c>
      <c r="NG40" s="210"/>
      <c r="NH40" s="211">
        <f t="shared" si="104"/>
        <v>16508284133</v>
      </c>
      <c r="NI40" s="208">
        <f t="shared" si="17"/>
        <v>6539774947</v>
      </c>
      <c r="NJ40" s="212">
        <f t="shared" si="105"/>
        <v>7.3986077847936926E-2</v>
      </c>
      <c r="NK40" s="213">
        <f t="shared" si="106"/>
        <v>0.92070181386931449</v>
      </c>
      <c r="NL40" s="214">
        <f t="shared" si="18"/>
        <v>0.61452691312684604</v>
      </c>
      <c r="NM40" s="208">
        <f t="shared" si="107"/>
        <v>1.2055979154155787</v>
      </c>
      <c r="NN40" s="208">
        <f t="shared" si="19"/>
        <v>2.0454992857628009</v>
      </c>
      <c r="NO40" s="215">
        <f t="shared" si="20"/>
        <v>7.8616319773947951E-2</v>
      </c>
      <c r="NP40" s="216" t="str">
        <f t="shared" si="108"/>
        <v/>
      </c>
      <c r="NQ40" s="215" t="str">
        <f t="shared" si="109"/>
        <v/>
      </c>
      <c r="NR40" s="215" t="str">
        <f t="shared" si="110"/>
        <v/>
      </c>
      <c r="NS40" s="215" t="str">
        <f t="shared" si="21"/>
        <v/>
      </c>
      <c r="NT40" s="215" t="str">
        <f t="shared" si="22"/>
        <v/>
      </c>
      <c r="NU40" s="215">
        <f t="shared" si="23"/>
        <v>1.84717378650689</v>
      </c>
      <c r="NV40" s="215" t="str">
        <f t="shared" si="111"/>
        <v/>
      </c>
      <c r="NW40" s="215" t="str">
        <f t="shared" si="24"/>
        <v/>
      </c>
      <c r="NX40" s="215">
        <f t="shared" si="25"/>
        <v>1.5467233456802758</v>
      </c>
      <c r="NY40" s="215" t="str">
        <f t="shared" si="26"/>
        <v/>
      </c>
      <c r="NZ40" s="215">
        <f t="shared" si="27"/>
        <v>0.52923735323814625</v>
      </c>
      <c r="OA40" s="215">
        <f t="shared" si="28"/>
        <v>0</v>
      </c>
      <c r="OB40" s="215">
        <f t="shared" si="29"/>
        <v>0.37388091571283533</v>
      </c>
      <c r="OC40" s="215">
        <f t="shared" si="30"/>
        <v>6.1800156952349279E-4</v>
      </c>
      <c r="OD40" s="215">
        <f t="shared" si="31"/>
        <v>1.3147737844184513</v>
      </c>
      <c r="OE40" s="215" t="str">
        <f t="shared" si="32"/>
        <v/>
      </c>
      <c r="OF40" s="215" t="str">
        <f t="shared" si="33"/>
        <v/>
      </c>
      <c r="OG40" s="215" t="str">
        <f t="shared" si="34"/>
        <v/>
      </c>
      <c r="OH40" s="215">
        <f t="shared" si="35"/>
        <v>2.3795166530999303</v>
      </c>
      <c r="OI40" s="215">
        <f t="shared" si="112"/>
        <v>8.0705401600000002</v>
      </c>
      <c r="OJ40" s="218">
        <f t="shared" si="113"/>
        <v>6.1936913056940011E-2</v>
      </c>
      <c r="OK40" s="218">
        <f t="shared" si="114"/>
        <v>4.9186092293554126E-2</v>
      </c>
      <c r="OL40" s="218" t="str">
        <f t="shared" si="115"/>
        <v/>
      </c>
      <c r="OM40" s="218" t="str">
        <f t="shared" si="116"/>
        <v/>
      </c>
      <c r="ON40" s="217">
        <f t="shared" si="36"/>
        <v>0.274547841430483</v>
      </c>
      <c r="OO40" s="210"/>
      <c r="OP40" s="210"/>
      <c r="OQ40" s="218" t="str">
        <f t="shared" si="117"/>
        <v/>
      </c>
      <c r="OR40" s="218" t="str">
        <f t="shared" si="118"/>
        <v/>
      </c>
      <c r="OS40" s="218">
        <f t="shared" si="37"/>
        <v>0.53164114250410988</v>
      </c>
      <c r="OT40" s="218">
        <f t="shared" si="38"/>
        <v>0.71889968456147879</v>
      </c>
      <c r="OU40" s="209" t="str">
        <f t="shared" si="39"/>
        <v/>
      </c>
      <c r="OV40" s="209" t="str">
        <f t="shared" si="40"/>
        <v/>
      </c>
      <c r="OW40" s="209">
        <f t="shared" si="119"/>
        <v>2.7311467432782035E-2</v>
      </c>
      <c r="OX40" s="219" t="str">
        <f t="shared" si="41"/>
        <v/>
      </c>
      <c r="OY40" s="208">
        <f t="shared" si="120"/>
        <v>4600789919</v>
      </c>
      <c r="OZ40" s="208">
        <f t="shared" si="42"/>
        <v>32644971</v>
      </c>
      <c r="PA40" s="209">
        <f t="shared" si="121"/>
        <v>7.095514373561207E-3</v>
      </c>
      <c r="PB40" s="209">
        <f>IF(OR($CQ40="",$OZ40=""),"",IF($OZ40=0,0,
GuardLimitUpper(
  ($OZ40-$CQ40)/$OZ40,
  data_GuardLimitFlag,
  1)
))</f>
        <v>0.76126696513224046</v>
      </c>
      <c r="PC40" s="209" t="str">
        <f t="shared" si="43"/>
        <v/>
      </c>
      <c r="PD40" s="209" t="str">
        <f t="shared" si="44"/>
        <v/>
      </c>
      <c r="PE40" s="208">
        <f t="shared" si="122"/>
        <v>9688246</v>
      </c>
      <c r="PF40" s="209">
        <f t="shared" si="123"/>
        <v>2.1057788272379491E-3</v>
      </c>
      <c r="PG40" s="209">
        <f t="shared" si="45"/>
        <v>0.33275847867611952</v>
      </c>
      <c r="PH40" s="209" t="str">
        <f t="shared" si="46"/>
        <v/>
      </c>
      <c r="PI40" s="209" t="str">
        <f t="shared" si="47"/>
        <v/>
      </c>
      <c r="PJ40" s="220" t="str">
        <f t="shared" si="48"/>
        <v/>
      </c>
      <c r="PK40" s="220" t="str">
        <f t="shared" si="49"/>
        <v/>
      </c>
      <c r="PL40" s="221">
        <f t="shared" si="124"/>
        <v>423272627</v>
      </c>
      <c r="PM40" s="221" t="str">
        <f t="shared" si="50"/>
        <v/>
      </c>
      <c r="PN40" s="221">
        <f t="shared" si="125"/>
        <v>16240802</v>
      </c>
      <c r="PO40" s="221" t="str">
        <f t="shared" si="51"/>
        <v/>
      </c>
      <c r="PP40" s="221" t="str">
        <f t="shared" si="52"/>
        <v/>
      </c>
      <c r="PQ40" s="529" t="str">
        <f t="shared" si="126"/>
        <v/>
      </c>
      <c r="PR40" s="221" t="str">
        <f t="shared" si="53"/>
        <v/>
      </c>
      <c r="PS40" s="221">
        <f t="shared" si="54"/>
        <v>3607046233</v>
      </c>
      <c r="PT40" s="221">
        <f t="shared" si="127"/>
        <v>144385084</v>
      </c>
      <c r="PU40" s="221" t="str">
        <f t="shared" si="55"/>
        <v/>
      </c>
      <c r="PV40" s="221">
        <f t="shared" si="128"/>
        <v>97350</v>
      </c>
      <c r="PW40" s="221" t="str">
        <f t="shared" si="56"/>
        <v/>
      </c>
      <c r="PX40" s="221" t="str">
        <f t="shared" si="162"/>
        <v/>
      </c>
      <c r="PY40" s="221">
        <f t="shared" si="57"/>
        <v>409747823</v>
      </c>
      <c r="PZ40" s="221" t="str">
        <f t="shared" si="58"/>
        <v/>
      </c>
      <c r="QA40" s="221" t="str">
        <f t="shared" si="59"/>
        <v/>
      </c>
      <c r="QB40" s="221" t="str">
        <f t="shared" si="60"/>
        <v/>
      </c>
      <c r="QC40" s="221" t="str">
        <f t="shared" si="61"/>
        <v/>
      </c>
      <c r="QD40" s="221">
        <f t="shared" si="129"/>
        <v>423680151</v>
      </c>
      <c r="QE40" s="221">
        <f t="shared" si="130"/>
        <v>481114532</v>
      </c>
      <c r="QF40" s="221">
        <f t="shared" si="131"/>
        <v>34969510</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10967730021</v>
      </c>
      <c r="QN40" s="222">
        <f t="shared" si="133"/>
        <v>16508284133</v>
      </c>
      <c r="QO40" s="222" t="str">
        <f t="shared" si="134"/>
        <v/>
      </c>
      <c r="QP40" s="222" t="str">
        <f t="shared" si="135"/>
        <v/>
      </c>
      <c r="QQ40" s="222" t="str">
        <f t="shared" si="136"/>
        <v/>
      </c>
      <c r="QR40" s="222">
        <f t="shared" si="67"/>
        <v>0.49796762435343528</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8.0705401600000002</v>
      </c>
      <c r="RV40" s="208">
        <f t="shared" si="139"/>
        <v>1</v>
      </c>
      <c r="RW40" s="208">
        <f t="shared" si="140"/>
        <v>0.99218112844072026</v>
      </c>
      <c r="RX40" s="208">
        <f t="shared" si="141"/>
        <v>0.98153502156083361</v>
      </c>
      <c r="RY40" s="208">
        <f t="shared" si="142"/>
        <v>0.97602232907278152</v>
      </c>
      <c r="RZ40" s="208">
        <f t="shared" si="85"/>
        <v>0.97129685488496753</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1</v>
      </c>
      <c r="SN40" s="225">
        <f t="shared" si="98"/>
        <v>8.0705401600000002</v>
      </c>
      <c r="SO40" s="209">
        <f t="shared" si="144"/>
        <v>0.87698261256749588</v>
      </c>
      <c r="SP40" s="209">
        <f t="shared" si="145"/>
        <v>0.98518777255492429</v>
      </c>
      <c r="SQ40" s="222">
        <f t="shared" si="146"/>
        <v>13693026441</v>
      </c>
      <c r="SR40" s="222">
        <f t="shared" si="147"/>
        <v>13585962426</v>
      </c>
      <c r="SS40" s="222">
        <f t="shared" si="148"/>
        <v>13440185003</v>
      </c>
      <c r="ST40" s="222">
        <f t="shared" si="149"/>
        <v>13364699559</v>
      </c>
      <c r="SU40" s="222">
        <f t="shared" si="150"/>
        <v>13299993516</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13</v>
      </c>
      <c r="AG41" s="430">
        <v>2</v>
      </c>
      <c r="AH41" s="430" t="s">
        <v>1975</v>
      </c>
      <c r="AI41" s="430">
        <v>0</v>
      </c>
      <c r="AJ41" s="430">
        <v>1</v>
      </c>
      <c r="AK41" s="594">
        <v>806985824</v>
      </c>
      <c r="AL41" s="594">
        <v>13692295093</v>
      </c>
      <c r="AM41" s="430">
        <v>1504776898</v>
      </c>
      <c r="AN41" s="430">
        <v>517712159</v>
      </c>
      <c r="AO41" s="430">
        <v>11235592</v>
      </c>
      <c r="AP41" s="430">
        <v>7232675</v>
      </c>
      <c r="AQ41" s="595">
        <v>700429</v>
      </c>
      <c r="AR41" s="595">
        <v>203592</v>
      </c>
      <c r="AS41" s="594">
        <v>16736003653</v>
      </c>
      <c r="AT41" s="594">
        <v>1220689335</v>
      </c>
      <c r="AU41" s="430" t="s">
        <v>1974</v>
      </c>
      <c r="AV41" s="430" t="s">
        <v>1964</v>
      </c>
      <c r="AW41" s="430">
        <v>0</v>
      </c>
      <c r="AX41" s="430">
        <v>5</v>
      </c>
      <c r="AY41" s="430">
        <v>2</v>
      </c>
      <c r="AZ41" s="430" t="s">
        <v>1975</v>
      </c>
      <c r="BA41" s="430">
        <v>0</v>
      </c>
      <c r="BB41" s="430">
        <v>1</v>
      </c>
      <c r="BC41" s="430">
        <v>698617664</v>
      </c>
      <c r="BD41" s="430">
        <v>13585427516</v>
      </c>
      <c r="BE41" s="430">
        <v>7371667517</v>
      </c>
      <c r="BF41" s="595">
        <v>2214978366</v>
      </c>
      <c r="BG41" s="430">
        <v>3245263814</v>
      </c>
      <c r="BH41" s="595">
        <v>133017962</v>
      </c>
      <c r="BI41" s="430">
        <v>2597998704</v>
      </c>
      <c r="BJ41" s="430">
        <v>637613235</v>
      </c>
      <c r="BK41" s="430">
        <v>0</v>
      </c>
      <c r="BL41" s="430">
        <v>1355440</v>
      </c>
      <c r="BM41" s="430" t="s">
        <v>1974</v>
      </c>
      <c r="BN41" s="430" t="s">
        <v>1964</v>
      </c>
      <c r="BO41" s="430">
        <v>0</v>
      </c>
      <c r="BP41" s="430">
        <v>13</v>
      </c>
      <c r="BQ41" s="430">
        <v>2</v>
      </c>
      <c r="BR41" s="430" t="s">
        <v>1975</v>
      </c>
      <c r="BS41" s="430">
        <v>0</v>
      </c>
      <c r="BT41" s="430">
        <v>1</v>
      </c>
      <c r="BU41" s="430">
        <v>692640064</v>
      </c>
      <c r="BV41" s="430">
        <v>13439698504</v>
      </c>
      <c r="BW41" s="594">
        <v>3646235031</v>
      </c>
      <c r="BX41" s="594">
        <v>3712841222</v>
      </c>
      <c r="BY41" s="430">
        <v>2352949130</v>
      </c>
      <c r="BZ41" s="430">
        <v>360427205</v>
      </c>
      <c r="CA41" s="430">
        <v>832570439</v>
      </c>
      <c r="CB41" s="430">
        <v>7065232714</v>
      </c>
      <c r="CC41" s="430">
        <v>659835039</v>
      </c>
      <c r="CD41" s="430">
        <v>7587701410</v>
      </c>
      <c r="CE41" s="430" t="s">
        <v>1974</v>
      </c>
      <c r="CF41" s="430" t="s">
        <v>1964</v>
      </c>
      <c r="CG41" s="430">
        <v>0</v>
      </c>
      <c r="CH41" s="430">
        <v>9</v>
      </c>
      <c r="CI41" s="430">
        <v>2</v>
      </c>
      <c r="CJ41" s="430" t="s">
        <v>1975</v>
      </c>
      <c r="CK41" s="430">
        <v>0</v>
      </c>
      <c r="CL41" s="430">
        <v>1</v>
      </c>
      <c r="CM41" s="430">
        <v>690204288</v>
      </c>
      <c r="CN41" s="430">
        <v>13364056394</v>
      </c>
      <c r="CO41" s="430">
        <v>683329</v>
      </c>
      <c r="CP41" s="430">
        <v>30949497</v>
      </c>
      <c r="CQ41" s="430">
        <v>7551526</v>
      </c>
      <c r="CR41" s="430">
        <v>11218681</v>
      </c>
      <c r="CS41" s="430">
        <v>4237906</v>
      </c>
      <c r="CT41" s="430">
        <v>16237578</v>
      </c>
      <c r="CU41" s="430">
        <v>95832</v>
      </c>
      <c r="CV41" s="430">
        <v>210436</v>
      </c>
      <c r="CW41" s="430" t="s">
        <v>1974</v>
      </c>
      <c r="CX41" s="430" t="s">
        <v>1964</v>
      </c>
      <c r="CY41" s="430">
        <v>0</v>
      </c>
      <c r="CZ41" s="430">
        <v>13</v>
      </c>
      <c r="DA41" s="430">
        <v>2</v>
      </c>
      <c r="DB41" s="430" t="s">
        <v>1975</v>
      </c>
      <c r="DC41" s="430">
        <v>0</v>
      </c>
      <c r="DD41" s="430">
        <v>1</v>
      </c>
      <c r="DE41" s="430">
        <v>688325792</v>
      </c>
      <c r="DF41" s="430">
        <v>13298950625</v>
      </c>
      <c r="DG41" s="430">
        <v>938819297</v>
      </c>
      <c r="DH41" s="430">
        <v>480895363</v>
      </c>
      <c r="DI41" s="430">
        <v>34958988</v>
      </c>
      <c r="DJ41" s="430">
        <v>4057851940</v>
      </c>
      <c r="DK41" s="430">
        <v>555337445</v>
      </c>
      <c r="DL41" s="430">
        <v>439000242</v>
      </c>
      <c r="DM41" s="430">
        <v>144348677</v>
      </c>
      <c r="DN41" s="430">
        <v>13363244</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13</v>
      </c>
      <c r="NB41" s="424">
        <f t="shared" si="101"/>
        <v>2</v>
      </c>
      <c r="NC41" s="207">
        <f t="shared" si="102"/>
        <v>8.0698582400000003</v>
      </c>
      <c r="ND41" s="208">
        <f>IF(OR($NI41="",$NC41=""),"",IF($NC41=0,0,$NI41/10^9/$NC41))</f>
        <v>0.81002906824296339</v>
      </c>
      <c r="NE41" s="209">
        <f t="shared" si="15"/>
        <v>1.5124242486329525E-2</v>
      </c>
      <c r="NF41" s="208">
        <f t="shared" si="16"/>
        <v>0.55719033002492979</v>
      </c>
      <c r="NG41" s="210"/>
      <c r="NH41" s="211">
        <f t="shared" si="104"/>
        <v>16736003653</v>
      </c>
      <c r="NI41" s="208">
        <f t="shared" si="17"/>
        <v>6536819751</v>
      </c>
      <c r="NJ41" s="212">
        <f t="shared" si="105"/>
        <v>7.2937922356463292E-2</v>
      </c>
      <c r="NK41" s="213">
        <f t="shared" si="106"/>
        <v>0.92080060660678298</v>
      </c>
      <c r="NL41" s="214">
        <f t="shared" si="18"/>
        <v>0.61364581961819897</v>
      </c>
      <c r="NM41" s="208">
        <f t="shared" si="107"/>
        <v>1.2222935263465111</v>
      </c>
      <c r="NN41" s="208">
        <f t="shared" si="19"/>
        <v>2.0738906626691871</v>
      </c>
      <c r="NO41" s="215">
        <f t="shared" si="20"/>
        <v>7.9013788520787165E-2</v>
      </c>
      <c r="NP41" s="216" t="str">
        <f t="shared" si="108"/>
        <v/>
      </c>
      <c r="NQ41" s="215" t="str">
        <f t="shared" si="109"/>
        <v/>
      </c>
      <c r="NR41" s="215" t="str">
        <f t="shared" si="110"/>
        <v/>
      </c>
      <c r="NS41" s="215" t="str">
        <f t="shared" si="21"/>
        <v/>
      </c>
      <c r="NT41" s="215" t="str">
        <f t="shared" si="22"/>
        <v/>
      </c>
      <c r="NU41" s="215">
        <f t="shared" si="23"/>
        <v>1.8487002197088622</v>
      </c>
      <c r="NV41" s="215" t="str">
        <f t="shared" si="111"/>
        <v/>
      </c>
      <c r="NW41" s="215" t="str">
        <f t="shared" si="24"/>
        <v/>
      </c>
      <c r="NX41" s="215">
        <f t="shared" si="25"/>
        <v>1.5432330873866127</v>
      </c>
      <c r="NY41" s="215" t="str">
        <f t="shared" si="26"/>
        <v/>
      </c>
      <c r="NZ41" s="215">
        <f t="shared" si="27"/>
        <v>0.52913780213197792</v>
      </c>
      <c r="OA41" s="215">
        <f t="shared" si="28"/>
        <v>0</v>
      </c>
      <c r="OB41" s="215">
        <f t="shared" si="29"/>
        <v>0.37794248312744677</v>
      </c>
      <c r="OC41" s="215">
        <f t="shared" si="30"/>
        <v>8.0514276344585526E-4</v>
      </c>
      <c r="OD41" s="215">
        <f t="shared" si="31"/>
        <v>1.3157157842280183</v>
      </c>
      <c r="OE41" s="215" t="str">
        <f t="shared" si="32"/>
        <v/>
      </c>
      <c r="OF41" s="215" t="str">
        <f t="shared" si="33"/>
        <v/>
      </c>
      <c r="OG41" s="215" t="str">
        <f t="shared" si="34"/>
        <v/>
      </c>
      <c r="OH41" s="215">
        <f t="shared" si="35"/>
        <v>2.3753099321328497</v>
      </c>
      <c r="OI41" s="215">
        <f t="shared" si="112"/>
        <v>8.0698582400000003</v>
      </c>
      <c r="OJ41" s="218">
        <f t="shared" si="113"/>
        <v>6.1948594959344183E-2</v>
      </c>
      <c r="OK41" s="218">
        <f t="shared" si="114"/>
        <v>4.9095970330258233E-2</v>
      </c>
      <c r="OL41" s="218" t="str">
        <f t="shared" si="115"/>
        <v/>
      </c>
      <c r="OM41" s="218" t="str">
        <f t="shared" si="116"/>
        <v/>
      </c>
      <c r="ON41" s="217">
        <f t="shared" si="36"/>
        <v>0.27378129988592192</v>
      </c>
      <c r="OO41" s="210"/>
      <c r="OP41" s="210"/>
      <c r="OQ41" s="218" t="str">
        <f t="shared" si="117"/>
        <v/>
      </c>
      <c r="OR41" s="218" t="str">
        <f t="shared" si="118"/>
        <v/>
      </c>
      <c r="OS41" s="218">
        <f t="shared" si="37"/>
        <v>0.53037800039523142</v>
      </c>
      <c r="OT41" s="218">
        <f t="shared" si="38"/>
        <v>0.71871196601458442</v>
      </c>
      <c r="OU41" s="209" t="str">
        <f t="shared" si="39"/>
        <v/>
      </c>
      <c r="OV41" s="209" t="str">
        <f t="shared" si="40"/>
        <v/>
      </c>
      <c r="OW41" s="209">
        <f t="shared" si="119"/>
        <v>2.6818101975481637E-2</v>
      </c>
      <c r="OX41" s="219" t="str">
        <f t="shared" si="41"/>
        <v/>
      </c>
      <c r="OY41" s="208">
        <f t="shared" si="120"/>
        <v>4613189385</v>
      </c>
      <c r="OZ41" s="208">
        <f t="shared" si="42"/>
        <v>30949497</v>
      </c>
      <c r="PA41" s="209">
        <f>IF(OR($OZ41="",$OY41=""),"",IF($OY41=0,0,$OZ41/$OY41))</f>
        <v>6.7089153332039065E-3</v>
      </c>
      <c r="PB41" s="209">
        <f>IF(OR($CQ41="",$OZ41=""),"",IF($OZ41=0,0,
GuardLimitUpper(
  ($OZ41-$CQ41)/$OZ41,
  data_GuardLimitFlag,
  1)
))</f>
        <v>0.75600488757539419</v>
      </c>
      <c r="PC41" s="209" t="str">
        <f t="shared" si="43"/>
        <v/>
      </c>
      <c r="PD41" s="209" t="str">
        <f t="shared" si="44"/>
        <v/>
      </c>
      <c r="PE41" s="208">
        <f t="shared" si="122"/>
        <v>10331571</v>
      </c>
      <c r="PF41" s="209">
        <f t="shared" si="123"/>
        <v>2.2395722650350286E-3</v>
      </c>
      <c r="PG41" s="209">
        <f t="shared" si="45"/>
        <v>0.34404999975318373</v>
      </c>
      <c r="PH41" s="209" t="str">
        <f t="shared" si="46"/>
        <v/>
      </c>
      <c r="PI41" s="209" t="str">
        <f t="shared" si="47"/>
        <v/>
      </c>
      <c r="PJ41" s="220" t="str">
        <f t="shared" si="48"/>
        <v/>
      </c>
      <c r="PK41" s="220" t="str">
        <f t="shared" si="49"/>
        <v/>
      </c>
      <c r="PL41" s="221">
        <f t="shared" si="124"/>
        <v>422762664</v>
      </c>
      <c r="PM41" s="221" t="str">
        <f t="shared" si="50"/>
        <v/>
      </c>
      <c r="PN41" s="221">
        <f t="shared" si="125"/>
        <v>16237578</v>
      </c>
      <c r="PO41" s="221" t="str">
        <f t="shared" si="51"/>
        <v/>
      </c>
      <c r="PP41" s="221" t="str">
        <f t="shared" si="52"/>
        <v/>
      </c>
      <c r="PQ41" s="529" t="str">
        <f t="shared" si="126"/>
        <v/>
      </c>
      <c r="PR41" s="221" t="str">
        <f t="shared" si="53"/>
        <v/>
      </c>
      <c r="PS41" s="221">
        <f t="shared" si="54"/>
        <v>3618851698</v>
      </c>
      <c r="PT41" s="221">
        <f t="shared" si="127"/>
        <v>144252845</v>
      </c>
      <c r="PU41" s="221" t="str">
        <f t="shared" si="55"/>
        <v/>
      </c>
      <c r="PV41" s="221">
        <f t="shared" si="128"/>
        <v>95832</v>
      </c>
      <c r="PW41" s="221" t="str">
        <f t="shared" si="56"/>
        <v/>
      </c>
      <c r="PX41" s="221" t="str">
        <f t="shared" si="162"/>
        <v/>
      </c>
      <c r="PY41" s="221">
        <f t="shared" si="57"/>
        <v>410988768</v>
      </c>
      <c r="PZ41" s="221" t="str">
        <f t="shared" si="58"/>
        <v/>
      </c>
      <c r="QA41" s="221" t="str">
        <f t="shared" si="59"/>
        <v/>
      </c>
      <c r="QB41" s="221" t="str">
        <f t="shared" si="60"/>
        <v/>
      </c>
      <c r="QC41" s="221" t="str">
        <f t="shared" si="61"/>
        <v/>
      </c>
      <c r="QD41" s="221">
        <f t="shared" si="129"/>
        <v>422964946</v>
      </c>
      <c r="QE41" s="221">
        <f t="shared" si="130"/>
        <v>480895363</v>
      </c>
      <c r="QF41" s="221">
        <f t="shared" si="131"/>
        <v>34958988</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11183994971</v>
      </c>
      <c r="QN41" s="222">
        <f t="shared" si="133"/>
        <v>16736003653</v>
      </c>
      <c r="QO41" s="222" t="str">
        <f t="shared" si="134"/>
        <v/>
      </c>
      <c r="QP41" s="222" t="str">
        <f t="shared" si="135"/>
        <v/>
      </c>
      <c r="QQ41" s="222" t="str">
        <f t="shared" si="136"/>
        <v/>
      </c>
      <c r="QR41" s="222">
        <f t="shared" si="67"/>
        <v>0.49707095149651925</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8.0698582400000003</v>
      </c>
      <c r="RV41" s="208">
        <f t="shared" si="139"/>
        <v>1</v>
      </c>
      <c r="RW41" s="208">
        <f t="shared" si="140"/>
        <v>0.9921950574192171</v>
      </c>
      <c r="RX41" s="208">
        <f t="shared" si="141"/>
        <v>0.98155191753578719</v>
      </c>
      <c r="RY41" s="208">
        <f t="shared" si="142"/>
        <v>0.97602748868830558</v>
      </c>
      <c r="RZ41" s="208">
        <f t="shared" si="85"/>
        <v>0.97127256859946787</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1</v>
      </c>
      <c r="SN41" s="225">
        <f t="shared" si="98"/>
        <v>8.0698582400000003</v>
      </c>
      <c r="SO41" s="209">
        <f>IF(OR($OI41="",$OC41="",COUNT($OI$30:$OI$41)=0),"",IF(MAX($OI$30:$OI$41)=0,0,($OI41-$OC41)/MAX($OI$30:$OI$41)))</f>
        <v>0.87688816908447798</v>
      </c>
      <c r="SP41" s="209">
        <f>IF(OR($NH41="",COUNT($NH$30:$NH$41)=0),"",IF(MAX($NH$30:$NH$41)=0,0,$NH41/MAX($NH$30:$NH$41)))</f>
        <v>0.99877770624328432</v>
      </c>
      <c r="SQ41" s="222">
        <f t="shared" si="146"/>
        <v>13692295093</v>
      </c>
      <c r="SR41" s="222">
        <f t="shared" si="147"/>
        <v>13585427516</v>
      </c>
      <c r="SS41" s="222">
        <f t="shared" si="148"/>
        <v>13439698504</v>
      </c>
      <c r="ST41" s="222">
        <f t="shared" si="149"/>
        <v>13364056394</v>
      </c>
      <c r="SU41" s="222">
        <f t="shared" si="150"/>
        <v>13298950625</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1 total</v>
      </c>
      <c r="NC42" s="226">
        <f>IF(COUNT(NC30:NC41)=0,"",AVERAGE(NC30:NC41))</f>
        <v>8.4403806133333337</v>
      </c>
      <c r="ND42" s="226">
        <f>IF(OR(COUNT(NI30:NI41)=0,,$NC$42=""),"",IF($NC$42=0,0,SUM(NI30:NI41)/10^9/$NC$42))</f>
        <v>11.93699939962897</v>
      </c>
      <c r="NE42" s="227">
        <f>IF(COUNT(NE30:NE41)=0,"",AVERAGE(NE30:NE41))</f>
        <v>1.8295010655029403E-2</v>
      </c>
      <c r="NF42" s="226">
        <f>IF(OR(COUNT($AO30:$AO41)=0,COUNT($AQ30:$AQ41)=0,COUNT($AR30:$AR41)=0,COUNT($AP30:$AP41)=0,$C$7="",$NC$42=""),"",IF($NC$42=0,0,(SUM($AO30:$AO41)-SUM($AQ30:$AQ41)-SUM($AR30:$AR41)+SUM($AP30:$AP41))*$C$7/$NC$42/10^9))</f>
        <v>10.546173065629809</v>
      </c>
      <c r="NG42" s="227">
        <f>IF(NF$42="","",NF$42/256)</f>
        <v>4.119598853761644E-2</v>
      </c>
      <c r="NH42" s="226">
        <f>IF(COUNT(NH30:NH41)=0,"",SUM(NH30:NH41))</f>
        <v>165821171590</v>
      </c>
      <c r="NI42" s="226">
        <f>IF(COUNT(NI30:NI41)=0,"",SUM(NI30:NI41))</f>
        <v>100752818314</v>
      </c>
      <c r="NJ42" s="228">
        <f>IF(OR(COUNT($AT30:$AT41)=0,COUNT($AS30:$AS41)=0),"",IF(SUM($AS30:$AS41)=0,0,SUM($AT30:$AT41)/SUM($AS30:$AS41)))</f>
        <v>0.11185303624473084</v>
      </c>
      <c r="NK42" s="229">
        <f>IF(OR(COUNT($AM30:$AM41)=0,$C$11="",COUNT($AN30:$AN41)=""),"",IF(SUM($AM30:$AM41)*$C$11+SUM($AN30:$AN41)=0,0,SUM($AM30:$AM41)*$C$11/(SUM($AM30:$AM41)*$C$11+SUM($AN30:$AN41))))</f>
        <v>0.9012759051265381</v>
      </c>
      <c r="NL42" s="229">
        <f>IF(OR(COUNT($CB30:$CB41)=0,COUNT($CD30:$CD41)=0,COUNT($CA30:$CA41)=0,COUNT($CC30:$CC41)=0),"",IF(SUM($CA30:$CA41)+SUM($CC30:$CC41)=0,0,
GuardLimitUpper(
  (SUM($CB30:$CB41)+SUM($CD30:$CD41))/((SUM($CA30:$CA41)+SUM($CC30:$CC41))*16),
  data_GuardLimitFlag,
  1)
))</f>
        <v>0.63944144764661737</v>
      </c>
      <c r="NM42" s="226">
        <f>IF(COUNT(NM30:NM41)=0,"",AVERAGE(NM30:NM41))</f>
        <v>0.98857315023408543</v>
      </c>
      <c r="NN42" s="226">
        <f>IF(OR(COUNT($AS30:$AS41)=0,$NC$42=""),"",IF($NC$42=0,0,SUM($AS30:$AS41)/10^9/$NC$42))</f>
        <v>19.64617227427529</v>
      </c>
      <c r="NO42" s="215">
        <f>IF(COUNT(NO30:NO41)=0,"",AVERAGE(NO30:NO41))</f>
        <v>7.9216609211162636E-2</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2.6455049856447972</v>
      </c>
      <c r="NV42" s="215" t="str">
        <f t="shared" si="163"/>
        <v/>
      </c>
      <c r="NW42" s="215" t="str">
        <f>IF(COUNT(NW30:NW41)=0,"",AVERAGE(NW30:NW41))</f>
        <v/>
      </c>
      <c r="NX42" s="215">
        <f t="shared" si="163"/>
        <v>1.7182201491514653</v>
      </c>
      <c r="NY42" s="215" t="str">
        <f>IF(COUNT(NY30:NY41)=0,"",AVERAGE(NY30:NY41))</f>
        <v/>
      </c>
      <c r="NZ42" s="215">
        <f>IF(COUNT(NZ30:NZ41)=0,"",AVERAGE(NZ30:NZ41))</f>
        <v>0.46141979579975367</v>
      </c>
      <c r="OA42" s="215">
        <f>IF(COUNT(OA30:OA41)=0,"",AVERAGE(OA30:OA41))</f>
        <v>0</v>
      </c>
      <c r="OB42" s="215">
        <f>IF(COUNT(OB30:OB41)=0,"",AVERAGE(OB30:OB41))</f>
        <v>0.33190065777486738</v>
      </c>
      <c r="OC42" s="215">
        <f>IF(COUNT(OC30:OC41)=0,"",AVERAGE(OC30:OC41))</f>
        <v>9.2234172772380885E-2</v>
      </c>
      <c r="OD42" s="215">
        <f t="shared" si="163"/>
        <v>1.0924345605093821</v>
      </c>
      <c r="OE42" s="215" t="str">
        <f>IF(COUNT(OE30:OE41)=0,"",AVERAGE(OE30:OE41))</f>
        <v/>
      </c>
      <c r="OF42" s="215" t="str">
        <f>IF(COUNT(OF30:OF41)=0,"",AVERAGE(OF30:OF41))</f>
        <v/>
      </c>
      <c r="OG42" s="215" t="str">
        <f>IF(COUNT(OG30:OG41)=0,"",AVERAGE(OG30:OG41))</f>
        <v/>
      </c>
      <c r="OH42" s="215">
        <f>IF(COUNT(OH30:OH41)=0,"",AVERAGE(OH30:OH41))</f>
        <v>2.0194496824695252</v>
      </c>
      <c r="OI42" s="215">
        <f>IF(COUNT(OI30:OI41)=0,"",AVERAGE(OI30:OI41))</f>
        <v>8.4403806133333337</v>
      </c>
      <c r="OJ42" s="227">
        <f>IF(OR(COUNT($CA30:$CA41)=0,COUNT($BV30:$BV41)=0),"",IF(SUM($BV30:$BV41)=0,0,SUM($CA30:$CA41)/SUM($BV30:$BV41)))</f>
        <v>8.1753309178677736E-2</v>
      </c>
      <c r="OK42" s="227">
        <f>IF(OR(COUNT($CC30:$CC41)=0,COUNT($BV30:$BV41)=0),"",IF(SUM($BV30:$BV41)=0,0,SUM($CC30:$CC41)/SUM($BV30:$BV41)))</f>
        <v>6.4541185131866879E-2</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0.28037630074198616</v>
      </c>
      <c r="OO42" s="218">
        <f>IF(OR(COUNT($BY$30:$BY$41)=0,COUNT($BV$30:$BV$41)=0),"",IF(SUM($BV$30:$BV$41)=0,0,SUM($BY$30:$BY$41)/2/SUM($BV$30:$BV$41)))</f>
        <v>8.3774077785991774E-2</v>
      </c>
      <c r="OP42" s="218">
        <f>IF($OK$25="","",IF(NG42="","",NG$42))</f>
        <v>4.119598853761644E-2</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0.55807264212558283</v>
      </c>
      <c r="OT42" s="227">
        <f>IF(OR(COUNT(CD30:CD41)=0,COUNT(CC30:CC41)=0),"",IF(SUM($CC30:$CC41)=0,0,
GuardLimitUpper(
  SUM($CD30:$CD41)/(SUM($CC30:$CC41)*16),
  data_GuardLimitFlag,
  1)
))</f>
        <v>0.7425100402308642</v>
      </c>
      <c r="OU42" s="227" t="str">
        <f>IF(COUNT(OU30:OU41)=0,"",AVERAGE(OU30:OU41))</f>
        <v/>
      </c>
      <c r="OV42" s="227" t="str">
        <f>IF(COUNT(OV30:OV41)=0,"",AVERAGE(OV30:OV41))</f>
        <v/>
      </c>
      <c r="OW42" s="227">
        <f>IF(OR(COUNT($BZ30:$BZ41)=0,COUNT($BV30:$BV41)=0),"",IF(SUM($BV30:$BV41)=0,0,SUM($BZ30:$BZ41)/SUM($BV30:$BV41)))</f>
        <v>5.9193442469194245E-2</v>
      </c>
      <c r="OX42" s="227" t="str">
        <f>IF(OR(COUNT($GG30:$GG41)=0,COUNT($AS30:$AS41)=0),"",IF(SUM($AS30:$AS41)=0,0,SUM($GG30:$GG41)/SUM($AS30:$AS41)))</f>
        <v/>
      </c>
      <c r="OY42" s="226">
        <f>IF(COUNT(OY30:OY41)=0,"",SUM(OY30:OY41))</f>
        <v>47125316579</v>
      </c>
      <c r="OZ42" s="226">
        <f>IF(COUNT(OZ30:OZ41)=0,"",SUM(OZ30:OZ41))</f>
        <v>820272956</v>
      </c>
      <c r="PA42" s="227">
        <f>IF(OR($OZ$42="",$OY$42=""),"",IF($OY$42=0,0,$OZ$42/$OY$42))</f>
        <v>1.7406205741343078E-2</v>
      </c>
      <c r="PB42" s="209">
        <f>IF(OR(COUNT($OZ30:$OZ41)=0,COUNT($CQ30:$CQ41)=0,$OZ$42=""),"",IF($OZ$42=0,0,
GuardLimitUpper(
  (SUM($OZ30:$OZ41)-SUM($CQ30:$CQ41))/$OZ$42,
  data_GuardLimitFlag,
  1)
))</f>
        <v>0.86024421241555593</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205052163</v>
      </c>
      <c r="PF42" s="227">
        <f>IF(OR($PE$42="",$OY$42=""),"",IF($OY$42=0,0,$PE$42/$OY$42))</f>
        <v>4.3512103023489379E-3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0.4659029517284341</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6780355682</v>
      </c>
      <c r="PM42" s="226" t="str">
        <f>IF(COUNT(PM30:PM41)=0,"",SUM(PM30:PM41))</f>
        <v/>
      </c>
      <c r="PN42" s="226">
        <f>IF(COUNT(PN30:PN41)=0,"",SUM(PN30:PN41))</f>
        <v>261303436</v>
      </c>
      <c r="PO42" s="226" t="str">
        <f t="shared" ref="PO42:QL42" si="164">IF(COUNT(PO30:PO41)=0,"",SUM(PO30:PO41))</f>
        <v/>
      </c>
      <c r="PP42" s="226" t="str">
        <f>IF(COUNT(PP30:PP41)=0,"",SUM(PP30:PP41))</f>
        <v/>
      </c>
      <c r="PQ42" s="226" t="str">
        <f>IF(COUNT(PQ30:PQ41)=0,"",SUM(PQ30:PQ41))</f>
        <v/>
      </c>
      <c r="PR42" s="226" t="str">
        <f t="shared" si="164"/>
        <v/>
      </c>
      <c r="PS42" s="226">
        <f>IF(COUNT(PS30:PS41)=0,"",SUM(PS30:PS41))</f>
        <v>33343910413</v>
      </c>
      <c r="PT42" s="226">
        <f>IF(COUNT(PT30:PT41)=0,"",SUM(PT30:PT41))</f>
        <v>2368172639</v>
      </c>
      <c r="PU42" s="226" t="str">
        <f t="shared" si="164"/>
        <v/>
      </c>
      <c r="PV42" s="226">
        <f>IF(COUNT(PV30:PV41)=0,"",SUM(PV30:PV41))</f>
        <v>3202044</v>
      </c>
      <c r="PW42" s="226" t="str">
        <f>IF(COUNT(PW30:PW41)=0,"",SUM(PW30:PW41))</f>
        <v/>
      </c>
      <c r="PX42" s="226" t="str">
        <f>IF(COUNT(PX30:PX41)=0,"",SUM(PX30:PX41))</f>
        <v/>
      </c>
      <c r="PY42" s="226">
        <f>IF(COUNT(PY30:PY41)=0,"",SUM(PY30:PY41))</f>
        <v>4368372365</v>
      </c>
      <c r="PZ42" s="226" t="str">
        <f>IF(COUNT(PZ30:PZ41)=0,"",SUM(PZ30:PZ41))</f>
        <v/>
      </c>
      <c r="QA42" s="226" t="str">
        <f t="shared" si="164"/>
        <v/>
      </c>
      <c r="QB42" s="226" t="str">
        <f>IF(COUNT(QB30:QB41)=0,"",SUM(QB30:QB41))</f>
        <v/>
      </c>
      <c r="QC42" s="226" t="str">
        <f t="shared" si="164"/>
        <v/>
      </c>
      <c r="QD42" s="226">
        <f t="shared" si="164"/>
        <v>7277507357</v>
      </c>
      <c r="QE42" s="226">
        <f t="shared" si="164"/>
        <v>7883517320</v>
      </c>
      <c r="QF42" s="226">
        <f>IF(COUNT(QF30:QF41)=0,"",SUM(QF30:QF41))</f>
        <v>619515836</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102915314498</v>
      </c>
      <c r="QN42" s="226">
        <f>IF(COUNT(QN30:QN41)=0,"",SUM(QN30:QN41))</f>
        <v>165821171590</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7.6330121766555505</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47125316579</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15780540513</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102915314498</v>
      </c>
      <c r="QN43" s="208">
        <f>IF(COUNT(PL43:QM43)=0,"",SUM(PL43:QM43))</f>
        <v>165821171590</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1</v>
      </c>
      <c r="TR43" s="413" t="str">
        <f t="shared" ref="TR43:TR54" si="166">IF($NB30="","","Thread " &amp; $NB30)</f>
        <v>Thread 0</v>
      </c>
      <c r="TS43" s="414">
        <f t="shared" ref="TS43:TS54" si="167">NO30</f>
        <v>8.0856715593736292E-2</v>
      </c>
      <c r="TT43" s="414">
        <f t="shared" ref="TT43:TT54" si="168">NU30</f>
        <v>4.160385313300841</v>
      </c>
      <c r="TU43" s="414">
        <f t="shared" ref="TU43:TU54" si="169">NX30</f>
        <v>2.1409470630758718</v>
      </c>
      <c r="TV43" s="414">
        <f t="shared" ref="TV43:TV54" si="170">NZ30</f>
        <v>0.34515996762965317</v>
      </c>
      <c r="TW43" s="414">
        <f t="shared" ref="TW43:TW54" si="171">OA30</f>
        <v>0</v>
      </c>
      <c r="TX43" s="414">
        <f>OB30</f>
        <v>0.24736637039733958</v>
      </c>
      <c r="TY43" s="414">
        <f t="shared" ref="TY43:TY54" si="172">OC30</f>
        <v>0.21599821878912928</v>
      </c>
      <c r="TZ43" s="414">
        <f t="shared" ref="TZ43:TZ54" si="173">OD30</f>
        <v>0.70804458865688424</v>
      </c>
      <c r="UA43" s="414">
        <f t="shared" ref="UA43:UA54" si="174">OH30</f>
        <v>1.3031598425565452</v>
      </c>
      <c r="UB43" s="254" t="s">
        <v>463</v>
      </c>
      <c r="UC43" s="413" t="str">
        <f>IF($NA30="","","Process" &amp; CHAR(10) &amp; $NA30)</f>
        <v>Process
1</v>
      </c>
      <c r="UD43" s="413" t="str">
        <f t="shared" ref="UD43:UD54" si="175">IF($NB30="","","Thread " &amp; $NB30)</f>
        <v>Thread 0</v>
      </c>
      <c r="UE43" s="414">
        <f t="shared" ref="UE43:UE54" si="176">NO30</f>
        <v>8.0856715593736292E-2</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4.160385313300841</v>
      </c>
      <c r="UL43" s="414" t="str">
        <f t="shared" ref="UL43:UL54" si="183">NV30</f>
        <v/>
      </c>
      <c r="UM43" s="414" t="str">
        <f t="shared" ref="UM43:UM54" si="184">NW30</f>
        <v/>
      </c>
      <c r="UN43" s="414">
        <f t="shared" ref="UN43:UN54" si="185">NX30</f>
        <v>2.1409470630758718</v>
      </c>
      <c r="UO43" s="414" t="str">
        <f t="shared" ref="UO43:UO54" si="186">NY30</f>
        <v/>
      </c>
      <c r="UP43" s="414">
        <f t="shared" ref="UP43:UP54" si="187">NZ30</f>
        <v>0.34515996762965317</v>
      </c>
      <c r="UQ43" s="414">
        <f t="shared" ref="UQ43:UQ54" si="188">OA30</f>
        <v>0</v>
      </c>
      <c r="UR43" s="414">
        <f t="shared" ref="UR43:UR54" si="189">OB30</f>
        <v>0.24736637039733958</v>
      </c>
      <c r="US43" s="414">
        <f t="shared" ref="US43:US54" si="190">OC30</f>
        <v>0.21599821878912928</v>
      </c>
      <c r="UT43" s="414">
        <f t="shared" ref="UT43:UT54" si="191">OD30</f>
        <v>0.70804458865688424</v>
      </c>
      <c r="UU43" s="414" t="str">
        <f t="shared" ref="UU43:UU54" si="192">OE30</f>
        <v/>
      </c>
      <c r="UV43" s="414" t="str">
        <f t="shared" ref="UV43:UV54" si="193">OF30</f>
        <v/>
      </c>
      <c r="UW43" s="414" t="str">
        <f t="shared" ref="UW43:UW54" si="194">OG30</f>
        <v/>
      </c>
      <c r="UX43" s="414">
        <f t="shared" ref="UX43:UX54" si="195">OH30</f>
        <v>1.3031598425565452</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7.9281671040994386E-2</v>
      </c>
      <c r="TT44" s="414">
        <f t="shared" si="168"/>
        <v>1.8842514019518555</v>
      </c>
      <c r="TU44" s="414">
        <f t="shared" si="169"/>
        <v>1.5385731666629945</v>
      </c>
      <c r="TV44" s="414">
        <f t="shared" si="170"/>
        <v>0.52079798331187355</v>
      </c>
      <c r="TW44" s="414">
        <f t="shared" si="171"/>
        <v>0</v>
      </c>
      <c r="TX44" s="414">
        <f t="shared" ref="TX44:TX54" si="197">OB31</f>
        <v>0.3830465353649366</v>
      </c>
      <c r="TY44" s="414">
        <f t="shared" si="172"/>
        <v>1.0349247161175836E-3</v>
      </c>
      <c r="TZ44" s="414">
        <f t="shared" si="173"/>
        <v>1.3020981432050214</v>
      </c>
      <c r="UA44" s="414">
        <f t="shared" si="174"/>
        <v>2.3621545737462073</v>
      </c>
      <c r="UC44" s="413" t="str">
        <f t="shared" ref="UC44:UC54" si="198">IF($NA31="","",IF($NA31=$NA30,"","Process" &amp; CHAR(10) &amp; $NA31))</f>
        <v/>
      </c>
      <c r="UD44" s="413" t="str">
        <f t="shared" si="175"/>
        <v>Thread 1</v>
      </c>
      <c r="UE44" s="414">
        <f t="shared" si="176"/>
        <v>7.9281671040994386E-2</v>
      </c>
      <c r="UF44" s="414" t="str">
        <f t="shared" si="177"/>
        <v/>
      </c>
      <c r="UG44" s="414" t="str">
        <f t="shared" si="178"/>
        <v/>
      </c>
      <c r="UH44" s="414" t="str">
        <f t="shared" si="179"/>
        <v/>
      </c>
      <c r="UI44" s="414" t="str">
        <f t="shared" si="180"/>
        <v/>
      </c>
      <c r="UJ44" s="414" t="str">
        <f t="shared" si="181"/>
        <v/>
      </c>
      <c r="UK44" s="414">
        <f t="shared" si="182"/>
        <v>1.8842514019518555</v>
      </c>
      <c r="UL44" s="414" t="str">
        <f t="shared" si="183"/>
        <v/>
      </c>
      <c r="UM44" s="414" t="str">
        <f t="shared" si="184"/>
        <v/>
      </c>
      <c r="UN44" s="414">
        <f t="shared" si="185"/>
        <v>1.5385731666629945</v>
      </c>
      <c r="UO44" s="414" t="str">
        <f t="shared" si="186"/>
        <v/>
      </c>
      <c r="UP44" s="414">
        <f t="shared" si="187"/>
        <v>0.52079798331187355</v>
      </c>
      <c r="UQ44" s="414">
        <f t="shared" si="188"/>
        <v>0</v>
      </c>
      <c r="UR44" s="414">
        <f t="shared" si="189"/>
        <v>0.3830465353649366</v>
      </c>
      <c r="US44" s="414">
        <f t="shared" si="190"/>
        <v>1.0349247161175836E-3</v>
      </c>
      <c r="UT44" s="414">
        <f t="shared" si="191"/>
        <v>1.3020981432050214</v>
      </c>
      <c r="UU44" s="414" t="str">
        <f t="shared" si="192"/>
        <v/>
      </c>
      <c r="UV44" s="414" t="str">
        <f t="shared" si="193"/>
        <v/>
      </c>
      <c r="UW44" s="414" t="str">
        <f t="shared" si="194"/>
        <v/>
      </c>
      <c r="UX44" s="414">
        <f t="shared" si="195"/>
        <v>2.3621545737462073</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7.9161187076853018E-2</v>
      </c>
      <c r="TT45" s="414">
        <f t="shared" si="168"/>
        <v>1.8654412080825029</v>
      </c>
      <c r="TU45" s="414">
        <f t="shared" si="169"/>
        <v>1.5386759046147405</v>
      </c>
      <c r="TV45" s="414">
        <f t="shared" si="170"/>
        <v>0.52832523556802635</v>
      </c>
      <c r="TW45" s="414">
        <f t="shared" si="171"/>
        <v>0</v>
      </c>
      <c r="TX45" s="414">
        <f t="shared" si="197"/>
        <v>0.37501714659734559</v>
      </c>
      <c r="TY45" s="414">
        <f t="shared" si="172"/>
        <v>8.6816779304797872E-4</v>
      </c>
      <c r="TZ45" s="414">
        <f t="shared" si="173"/>
        <v>1.3141884870338263</v>
      </c>
      <c r="UA45" s="414">
        <f t="shared" si="174"/>
        <v>2.368809383233657</v>
      </c>
      <c r="UC45" s="413" t="str">
        <f t="shared" si="198"/>
        <v/>
      </c>
      <c r="UD45" s="413" t="str">
        <f t="shared" si="175"/>
        <v>Thread 2</v>
      </c>
      <c r="UE45" s="414">
        <f t="shared" si="176"/>
        <v>7.9161187076853018E-2</v>
      </c>
      <c r="UF45" s="414" t="str">
        <f t="shared" si="177"/>
        <v/>
      </c>
      <c r="UG45" s="414" t="str">
        <f t="shared" si="178"/>
        <v/>
      </c>
      <c r="UH45" s="414" t="str">
        <f t="shared" si="179"/>
        <v/>
      </c>
      <c r="UI45" s="414" t="str">
        <f t="shared" si="180"/>
        <v/>
      </c>
      <c r="UJ45" s="414" t="str">
        <f t="shared" si="181"/>
        <v/>
      </c>
      <c r="UK45" s="414">
        <f t="shared" si="182"/>
        <v>1.8654412080825029</v>
      </c>
      <c r="UL45" s="414" t="str">
        <f t="shared" si="183"/>
        <v/>
      </c>
      <c r="UM45" s="414" t="str">
        <f t="shared" si="184"/>
        <v/>
      </c>
      <c r="UN45" s="414">
        <f t="shared" si="185"/>
        <v>1.5386759046147405</v>
      </c>
      <c r="UO45" s="414" t="str">
        <f t="shared" si="186"/>
        <v/>
      </c>
      <c r="UP45" s="414">
        <f t="shared" si="187"/>
        <v>0.52832523556802635</v>
      </c>
      <c r="UQ45" s="414">
        <f t="shared" si="188"/>
        <v>0</v>
      </c>
      <c r="UR45" s="414">
        <f t="shared" si="189"/>
        <v>0.37501714659734559</v>
      </c>
      <c r="US45" s="414">
        <f t="shared" si="190"/>
        <v>8.6816779304797872E-4</v>
      </c>
      <c r="UT45" s="414">
        <f t="shared" si="191"/>
        <v>1.3141884870338263</v>
      </c>
      <c r="UU45" s="414" t="str">
        <f t="shared" si="192"/>
        <v/>
      </c>
      <c r="UV45" s="414" t="str">
        <f t="shared" si="193"/>
        <v/>
      </c>
      <c r="UW45" s="414" t="str">
        <f t="shared" si="194"/>
        <v/>
      </c>
      <c r="UX45" s="414">
        <f t="shared" si="195"/>
        <v>2.368809383233657</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9</v>
      </c>
      <c r="TR46" s="413" t="str">
        <f t="shared" si="166"/>
        <v>Thread 0</v>
      </c>
      <c r="TS46" s="414">
        <f t="shared" si="167"/>
        <v>8.1057609235750949E-2</v>
      </c>
      <c r="TT46" s="414">
        <f t="shared" si="168"/>
        <v>4.1582637686151305</v>
      </c>
      <c r="TU46" s="414">
        <f t="shared" si="169"/>
        <v>2.1420871966390131</v>
      </c>
      <c r="TV46" s="414">
        <f t="shared" si="170"/>
        <v>0.35022367881682998</v>
      </c>
      <c r="TW46" s="414">
        <f t="shared" si="171"/>
        <v>0</v>
      </c>
      <c r="TX46" s="414">
        <f t="shared" si="197"/>
        <v>0.23911726523986943</v>
      </c>
      <c r="TY46" s="414">
        <f t="shared" si="172"/>
        <v>0.2025819857070148</v>
      </c>
      <c r="TZ46" s="414">
        <f t="shared" si="173"/>
        <v>0.71550956525224452</v>
      </c>
      <c r="UA46" s="414">
        <f t="shared" si="174"/>
        <v>1.3110021304941468</v>
      </c>
      <c r="UC46" s="413" t="str">
        <f t="shared" si="198"/>
        <v>Process
9</v>
      </c>
      <c r="UD46" s="413" t="str">
        <f t="shared" si="175"/>
        <v>Thread 0</v>
      </c>
      <c r="UE46" s="414">
        <f t="shared" si="176"/>
        <v>8.1057609235750949E-2</v>
      </c>
      <c r="UF46" s="414" t="str">
        <f t="shared" si="177"/>
        <v/>
      </c>
      <c r="UG46" s="414" t="str">
        <f t="shared" si="178"/>
        <v/>
      </c>
      <c r="UH46" s="414" t="str">
        <f t="shared" si="179"/>
        <v/>
      </c>
      <c r="UI46" s="414" t="str">
        <f t="shared" si="180"/>
        <v/>
      </c>
      <c r="UJ46" s="414" t="str">
        <f t="shared" si="181"/>
        <v/>
      </c>
      <c r="UK46" s="414">
        <f t="shared" si="182"/>
        <v>4.1582637686151305</v>
      </c>
      <c r="UL46" s="414" t="str">
        <f t="shared" si="183"/>
        <v/>
      </c>
      <c r="UM46" s="414" t="str">
        <f t="shared" si="184"/>
        <v/>
      </c>
      <c r="UN46" s="414">
        <f t="shared" si="185"/>
        <v>2.1420871966390131</v>
      </c>
      <c r="UO46" s="414" t="str">
        <f t="shared" si="186"/>
        <v/>
      </c>
      <c r="UP46" s="414">
        <f t="shared" si="187"/>
        <v>0.35022367881682998</v>
      </c>
      <c r="UQ46" s="414">
        <f t="shared" si="188"/>
        <v>0</v>
      </c>
      <c r="UR46" s="414">
        <f t="shared" si="189"/>
        <v>0.23911726523986943</v>
      </c>
      <c r="US46" s="414">
        <f t="shared" si="190"/>
        <v>0.2025819857070148</v>
      </c>
      <c r="UT46" s="414">
        <f t="shared" si="191"/>
        <v>0.71550956525224452</v>
      </c>
      <c r="UU46" s="414" t="str">
        <f t="shared" si="192"/>
        <v/>
      </c>
      <c r="UV46" s="414" t="str">
        <f t="shared" si="193"/>
        <v/>
      </c>
      <c r="UW46" s="414" t="str">
        <f t="shared" si="194"/>
        <v/>
      </c>
      <c r="UX46" s="414">
        <f t="shared" si="195"/>
        <v>1.3110021304941468</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7.826060201458962E-2</v>
      </c>
      <c r="TT47" s="414">
        <f t="shared" si="168"/>
        <v>1.8212225204029924</v>
      </c>
      <c r="TU47" s="414">
        <f t="shared" si="169"/>
        <v>1.5471982761964846</v>
      </c>
      <c r="TV47" s="414">
        <f t="shared" si="170"/>
        <v>0.53044454243146455</v>
      </c>
      <c r="TW47" s="414">
        <f t="shared" si="171"/>
        <v>0</v>
      </c>
      <c r="TX47" s="414">
        <f t="shared" si="197"/>
        <v>0.39149206542125481</v>
      </c>
      <c r="TY47" s="414">
        <f t="shared" si="172"/>
        <v>8.3844021723054505E-4</v>
      </c>
      <c r="TZ47" s="414">
        <f t="shared" si="173"/>
        <v>1.3182048896364529</v>
      </c>
      <c r="UA47" s="414">
        <f t="shared" si="174"/>
        <v>2.3808935436795311</v>
      </c>
      <c r="UC47" s="413" t="str">
        <f t="shared" si="198"/>
        <v/>
      </c>
      <c r="UD47" s="413" t="str">
        <f t="shared" si="175"/>
        <v>Thread 1</v>
      </c>
      <c r="UE47" s="414">
        <f t="shared" si="176"/>
        <v>7.826060201458962E-2</v>
      </c>
      <c r="UF47" s="414" t="str">
        <f t="shared" si="177"/>
        <v/>
      </c>
      <c r="UG47" s="414" t="str">
        <f t="shared" si="178"/>
        <v/>
      </c>
      <c r="UH47" s="414" t="str">
        <f t="shared" si="179"/>
        <v/>
      </c>
      <c r="UI47" s="414" t="str">
        <f t="shared" si="180"/>
        <v/>
      </c>
      <c r="UJ47" s="414" t="str">
        <f t="shared" si="181"/>
        <v/>
      </c>
      <c r="UK47" s="414">
        <f t="shared" si="182"/>
        <v>1.8212225204029924</v>
      </c>
      <c r="UL47" s="414" t="str">
        <f t="shared" si="183"/>
        <v/>
      </c>
      <c r="UM47" s="414" t="str">
        <f t="shared" si="184"/>
        <v/>
      </c>
      <c r="UN47" s="414">
        <f t="shared" si="185"/>
        <v>1.5471982761964846</v>
      </c>
      <c r="UO47" s="414" t="str">
        <f t="shared" si="186"/>
        <v/>
      </c>
      <c r="UP47" s="414">
        <f t="shared" si="187"/>
        <v>0.53044454243146455</v>
      </c>
      <c r="UQ47" s="414">
        <f t="shared" si="188"/>
        <v>0</v>
      </c>
      <c r="UR47" s="414">
        <f t="shared" si="189"/>
        <v>0.39149206542125481</v>
      </c>
      <c r="US47" s="414">
        <f t="shared" si="190"/>
        <v>8.3844021723054505E-4</v>
      </c>
      <c r="UT47" s="414">
        <f t="shared" si="191"/>
        <v>1.3182048896364529</v>
      </c>
      <c r="UU47" s="414" t="str">
        <f t="shared" si="192"/>
        <v/>
      </c>
      <c r="UV47" s="414" t="str">
        <f t="shared" si="193"/>
        <v/>
      </c>
      <c r="UW47" s="414" t="str">
        <f t="shared" si="194"/>
        <v/>
      </c>
      <c r="UX47" s="414">
        <f t="shared" si="195"/>
        <v>2.3808935436795311</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7.9242467597972044E-2</v>
      </c>
      <c r="TT48" s="414">
        <f t="shared" si="168"/>
        <v>1.820631855530497</v>
      </c>
      <c r="TU48" s="414">
        <f t="shared" si="169"/>
        <v>1.5490740617177945</v>
      </c>
      <c r="TV48" s="414">
        <f t="shared" si="170"/>
        <v>0.52888797004275578</v>
      </c>
      <c r="TW48" s="414">
        <f t="shared" si="171"/>
        <v>0</v>
      </c>
      <c r="TX48" s="414">
        <f t="shared" si="197"/>
        <v>0.39031926865822458</v>
      </c>
      <c r="TY48" s="414">
        <f t="shared" si="172"/>
        <v>9.6721967031672732E-4</v>
      </c>
      <c r="TZ48" s="414">
        <f t="shared" si="173"/>
        <v>1.3163785552778788</v>
      </c>
      <c r="UA48" s="414">
        <f t="shared" si="174"/>
        <v>2.3825526815045599</v>
      </c>
      <c r="UC48" s="413" t="str">
        <f t="shared" si="198"/>
        <v/>
      </c>
      <c r="UD48" s="413" t="str">
        <f t="shared" si="175"/>
        <v>Thread 2</v>
      </c>
      <c r="UE48" s="414">
        <f t="shared" si="176"/>
        <v>7.9242467597972044E-2</v>
      </c>
      <c r="UF48" s="414" t="str">
        <f t="shared" si="177"/>
        <v/>
      </c>
      <c r="UG48" s="414" t="str">
        <f t="shared" si="178"/>
        <v/>
      </c>
      <c r="UH48" s="414" t="str">
        <f t="shared" si="179"/>
        <v/>
      </c>
      <c r="UI48" s="414" t="str">
        <f t="shared" si="180"/>
        <v/>
      </c>
      <c r="UJ48" s="414" t="str">
        <f t="shared" si="181"/>
        <v/>
      </c>
      <c r="UK48" s="414">
        <f t="shared" si="182"/>
        <v>1.820631855530497</v>
      </c>
      <c r="UL48" s="414" t="str">
        <f t="shared" si="183"/>
        <v/>
      </c>
      <c r="UM48" s="414" t="str">
        <f t="shared" si="184"/>
        <v/>
      </c>
      <c r="UN48" s="414">
        <f t="shared" si="185"/>
        <v>1.5490740617177945</v>
      </c>
      <c r="UO48" s="414" t="str">
        <f t="shared" si="186"/>
        <v/>
      </c>
      <c r="UP48" s="414">
        <f t="shared" si="187"/>
        <v>0.52888797004275578</v>
      </c>
      <c r="UQ48" s="414">
        <f t="shared" si="188"/>
        <v>0</v>
      </c>
      <c r="UR48" s="414">
        <f t="shared" si="189"/>
        <v>0.39031926865822458</v>
      </c>
      <c r="US48" s="414">
        <f t="shared" si="190"/>
        <v>9.6721967031672732E-4</v>
      </c>
      <c r="UT48" s="414">
        <f t="shared" si="191"/>
        <v>1.3163785552778788</v>
      </c>
      <c r="UU48" s="414" t="str">
        <f t="shared" si="192"/>
        <v/>
      </c>
      <c r="UV48" s="414" t="str">
        <f t="shared" si="193"/>
        <v/>
      </c>
      <c r="UW48" s="414" t="str">
        <f t="shared" si="194"/>
        <v/>
      </c>
      <c r="UX48" s="414">
        <f t="shared" si="195"/>
        <v>2.3825526815045599</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5</v>
      </c>
      <c r="TR49" s="413" t="str">
        <f t="shared" si="166"/>
        <v>Thread 0</v>
      </c>
      <c r="TS49" s="414">
        <f t="shared" si="167"/>
        <v>7.8472040743052057E-2</v>
      </c>
      <c r="TT49" s="414">
        <f t="shared" si="168"/>
        <v>4.0961406471179593</v>
      </c>
      <c r="TU49" s="414">
        <f t="shared" si="169"/>
        <v>2.0986588148240135</v>
      </c>
      <c r="TV49" s="414">
        <f t="shared" si="170"/>
        <v>0.33827323287708877</v>
      </c>
      <c r="TW49" s="414">
        <f t="shared" si="171"/>
        <v>0</v>
      </c>
      <c r="TX49" s="414">
        <f t="shared" si="197"/>
        <v>0.23520593550194482</v>
      </c>
      <c r="TY49" s="414">
        <f t="shared" si="172"/>
        <v>0.34465471154192218</v>
      </c>
      <c r="TZ49" s="414">
        <f t="shared" si="173"/>
        <v>0.71844827018987634</v>
      </c>
      <c r="UA49" s="414">
        <f t="shared" si="174"/>
        <v>1.2888170672041437</v>
      </c>
      <c r="UC49" s="413" t="str">
        <f t="shared" si="198"/>
        <v>Process
5</v>
      </c>
      <c r="UD49" s="413" t="str">
        <f t="shared" si="175"/>
        <v>Thread 0</v>
      </c>
      <c r="UE49" s="414">
        <f t="shared" si="176"/>
        <v>7.8472040743052057E-2</v>
      </c>
      <c r="UF49" s="414" t="str">
        <f t="shared" si="177"/>
        <v/>
      </c>
      <c r="UG49" s="414" t="str">
        <f t="shared" si="178"/>
        <v/>
      </c>
      <c r="UH49" s="414" t="str">
        <f t="shared" si="179"/>
        <v/>
      </c>
      <c r="UI49" s="414" t="str">
        <f t="shared" si="180"/>
        <v/>
      </c>
      <c r="UJ49" s="414" t="str">
        <f t="shared" si="181"/>
        <v/>
      </c>
      <c r="UK49" s="414">
        <f t="shared" si="182"/>
        <v>4.0961406471179593</v>
      </c>
      <c r="UL49" s="414" t="str">
        <f t="shared" si="183"/>
        <v/>
      </c>
      <c r="UM49" s="414" t="str">
        <f t="shared" si="184"/>
        <v/>
      </c>
      <c r="UN49" s="414">
        <f t="shared" si="185"/>
        <v>2.0986588148240135</v>
      </c>
      <c r="UO49" s="414" t="str">
        <f t="shared" si="186"/>
        <v/>
      </c>
      <c r="UP49" s="414">
        <f t="shared" si="187"/>
        <v>0.33827323287708877</v>
      </c>
      <c r="UQ49" s="414">
        <f t="shared" si="188"/>
        <v>0</v>
      </c>
      <c r="UR49" s="414">
        <f t="shared" si="189"/>
        <v>0.23520593550194482</v>
      </c>
      <c r="US49" s="414">
        <f t="shared" si="190"/>
        <v>0.34465471154192218</v>
      </c>
      <c r="UT49" s="414">
        <f t="shared" si="191"/>
        <v>0.71844827018987634</v>
      </c>
      <c r="UU49" s="414" t="str">
        <f t="shared" si="192"/>
        <v/>
      </c>
      <c r="UV49" s="414" t="str">
        <f t="shared" si="193"/>
        <v/>
      </c>
      <c r="UW49" s="414" t="str">
        <f t="shared" si="194"/>
        <v/>
      </c>
      <c r="UX49" s="414">
        <f t="shared" si="195"/>
        <v>1.2888170672041437</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7.8549811134637923E-2</v>
      </c>
      <c r="TT50" s="414">
        <f t="shared" si="168"/>
        <v>2.3055785706874752</v>
      </c>
      <c r="TU50" s="414">
        <f t="shared" si="169"/>
        <v>1.3438464619512751</v>
      </c>
      <c r="TV50" s="414">
        <f t="shared" si="170"/>
        <v>0.4705078584733367</v>
      </c>
      <c r="TW50" s="414">
        <f t="shared" si="171"/>
        <v>0</v>
      </c>
      <c r="TX50" s="414">
        <f t="shared" si="197"/>
        <v>0.36455227817129399</v>
      </c>
      <c r="TY50" s="414">
        <f t="shared" si="172"/>
        <v>1.091656695491183E-3</v>
      </c>
      <c r="TZ50" s="414">
        <f t="shared" si="173"/>
        <v>1.0758843297214056</v>
      </c>
      <c r="UA50" s="414">
        <f t="shared" si="174"/>
        <v>2.4289371931650843</v>
      </c>
      <c r="UC50" s="413" t="str">
        <f t="shared" si="198"/>
        <v/>
      </c>
      <c r="UD50" s="413" t="str">
        <f t="shared" si="175"/>
        <v>Thread 1</v>
      </c>
      <c r="UE50" s="414">
        <f t="shared" si="176"/>
        <v>7.8549811134637923E-2</v>
      </c>
      <c r="UF50" s="414" t="str">
        <f t="shared" si="177"/>
        <v/>
      </c>
      <c r="UG50" s="414" t="str">
        <f t="shared" si="178"/>
        <v/>
      </c>
      <c r="UH50" s="414" t="str">
        <f t="shared" si="179"/>
        <v/>
      </c>
      <c r="UI50" s="414" t="str">
        <f t="shared" si="180"/>
        <v/>
      </c>
      <c r="UJ50" s="414" t="str">
        <f t="shared" si="181"/>
        <v/>
      </c>
      <c r="UK50" s="414">
        <f t="shared" si="182"/>
        <v>2.3055785706874752</v>
      </c>
      <c r="UL50" s="414" t="str">
        <f t="shared" si="183"/>
        <v/>
      </c>
      <c r="UM50" s="414" t="str">
        <f t="shared" si="184"/>
        <v/>
      </c>
      <c r="UN50" s="414">
        <f t="shared" si="185"/>
        <v>1.3438464619512751</v>
      </c>
      <c r="UO50" s="414" t="str">
        <f t="shared" si="186"/>
        <v/>
      </c>
      <c r="UP50" s="414">
        <f t="shared" si="187"/>
        <v>0.4705078584733367</v>
      </c>
      <c r="UQ50" s="414">
        <f t="shared" si="188"/>
        <v>0</v>
      </c>
      <c r="UR50" s="414">
        <f t="shared" si="189"/>
        <v>0.36455227817129399</v>
      </c>
      <c r="US50" s="414">
        <f t="shared" si="190"/>
        <v>1.091656695491183E-3</v>
      </c>
      <c r="UT50" s="414">
        <f t="shared" si="191"/>
        <v>1.0758843297214056</v>
      </c>
      <c r="UU50" s="414" t="str">
        <f t="shared" si="192"/>
        <v/>
      </c>
      <c r="UV50" s="414" t="str">
        <f t="shared" si="193"/>
        <v/>
      </c>
      <c r="UW50" s="414" t="str">
        <f t="shared" si="194"/>
        <v/>
      </c>
      <c r="UX50" s="414">
        <f t="shared" si="195"/>
        <v>2.4289371931650843</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7.9360432839990266E-2</v>
      </c>
      <c r="TT51" s="414">
        <f t="shared" si="168"/>
        <v>1.8405798464458902</v>
      </c>
      <c r="TU51" s="414">
        <f t="shared" si="169"/>
        <v>1.5454112802129729</v>
      </c>
      <c r="TV51" s="414">
        <f t="shared" si="170"/>
        <v>0.52926366772147848</v>
      </c>
      <c r="TW51" s="414">
        <f t="shared" si="171"/>
        <v>0</v>
      </c>
      <c r="TX51" s="414">
        <f t="shared" si="197"/>
        <v>0.37335818135587523</v>
      </c>
      <c r="TY51" s="414">
        <f t="shared" si="172"/>
        <v>9.3670475893089242E-4</v>
      </c>
      <c r="TZ51" s="414">
        <f t="shared" si="173"/>
        <v>1.3202340936721682</v>
      </c>
      <c r="UA51" s="414">
        <f t="shared" si="174"/>
        <v>2.3791236329926946</v>
      </c>
      <c r="UC51" s="413" t="str">
        <f t="shared" si="198"/>
        <v/>
      </c>
      <c r="UD51" s="413" t="str">
        <f t="shared" si="175"/>
        <v>Thread 2</v>
      </c>
      <c r="UE51" s="414">
        <f t="shared" si="176"/>
        <v>7.9360432839990266E-2</v>
      </c>
      <c r="UF51" s="414" t="str">
        <f t="shared" si="177"/>
        <v/>
      </c>
      <c r="UG51" s="414" t="str">
        <f t="shared" si="178"/>
        <v/>
      </c>
      <c r="UH51" s="414" t="str">
        <f t="shared" si="179"/>
        <v/>
      </c>
      <c r="UI51" s="414" t="str">
        <f t="shared" si="180"/>
        <v/>
      </c>
      <c r="UJ51" s="414" t="str">
        <f t="shared" si="181"/>
        <v/>
      </c>
      <c r="UK51" s="414">
        <f t="shared" si="182"/>
        <v>1.8405798464458902</v>
      </c>
      <c r="UL51" s="414" t="str">
        <f t="shared" si="183"/>
        <v/>
      </c>
      <c r="UM51" s="414" t="str">
        <f t="shared" si="184"/>
        <v/>
      </c>
      <c r="UN51" s="414">
        <f t="shared" si="185"/>
        <v>1.5454112802129729</v>
      </c>
      <c r="UO51" s="414" t="str">
        <f t="shared" si="186"/>
        <v/>
      </c>
      <c r="UP51" s="414">
        <f t="shared" si="187"/>
        <v>0.52926366772147848</v>
      </c>
      <c r="UQ51" s="414">
        <f t="shared" si="188"/>
        <v>0</v>
      </c>
      <c r="UR51" s="414">
        <f t="shared" si="189"/>
        <v>0.37335818135587523</v>
      </c>
      <c r="US51" s="414">
        <f t="shared" si="190"/>
        <v>9.3670475893089242E-4</v>
      </c>
      <c r="UT51" s="414">
        <f t="shared" si="191"/>
        <v>1.3202340936721682</v>
      </c>
      <c r="UU51" s="414" t="str">
        <f t="shared" si="192"/>
        <v/>
      </c>
      <c r="UV51" s="414" t="str">
        <f t="shared" si="193"/>
        <v/>
      </c>
      <c r="UW51" s="414" t="str">
        <f t="shared" si="194"/>
        <v/>
      </c>
      <c r="UX51" s="414">
        <f t="shared" si="195"/>
        <v>2.3791236329926946</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13</v>
      </c>
      <c r="TR52" s="413" t="str">
        <f t="shared" si="166"/>
        <v>Thread 0</v>
      </c>
      <c r="TS52" s="414">
        <f t="shared" si="167"/>
        <v>7.8726664961640144E-2</v>
      </c>
      <c r="TT52" s="414">
        <f t="shared" si="168"/>
        <v>4.0976906893866678</v>
      </c>
      <c r="TU52" s="414">
        <f t="shared" si="169"/>
        <v>2.0842131308555327</v>
      </c>
      <c r="TV52" s="414">
        <f t="shared" si="170"/>
        <v>0.33677825735441225</v>
      </c>
      <c r="TW52" s="414">
        <f t="shared" si="171"/>
        <v>0</v>
      </c>
      <c r="TX52" s="414">
        <f t="shared" si="197"/>
        <v>0.23150944775004145</v>
      </c>
      <c r="TY52" s="414">
        <f t="shared" si="172"/>
        <v>0.33641489904640026</v>
      </c>
      <c r="TZ52" s="414">
        <f t="shared" si="173"/>
        <v>0.68973423482035578</v>
      </c>
      <c r="UA52" s="414">
        <f t="shared" si="174"/>
        <v>1.2731195558249493</v>
      </c>
      <c r="UC52" s="413" t="str">
        <f t="shared" si="198"/>
        <v>Process
13</v>
      </c>
      <c r="UD52" s="413" t="str">
        <f t="shared" si="175"/>
        <v>Thread 0</v>
      </c>
      <c r="UE52" s="414">
        <f t="shared" si="176"/>
        <v>7.8726664961640144E-2</v>
      </c>
      <c r="UF52" s="414" t="str">
        <f t="shared" si="177"/>
        <v/>
      </c>
      <c r="UG52" s="414" t="str">
        <f t="shared" si="178"/>
        <v/>
      </c>
      <c r="UH52" s="414" t="str">
        <f t="shared" si="179"/>
        <v/>
      </c>
      <c r="UI52" s="414" t="str">
        <f t="shared" si="180"/>
        <v/>
      </c>
      <c r="UJ52" s="414" t="str">
        <f t="shared" si="181"/>
        <v/>
      </c>
      <c r="UK52" s="414">
        <f t="shared" si="182"/>
        <v>4.0976906893866678</v>
      </c>
      <c r="UL52" s="414" t="str">
        <f t="shared" si="183"/>
        <v/>
      </c>
      <c r="UM52" s="414" t="str">
        <f t="shared" si="184"/>
        <v/>
      </c>
      <c r="UN52" s="414">
        <f t="shared" si="185"/>
        <v>2.0842131308555327</v>
      </c>
      <c r="UO52" s="414" t="str">
        <f t="shared" si="186"/>
        <v/>
      </c>
      <c r="UP52" s="414">
        <f t="shared" si="187"/>
        <v>0.33677825735441225</v>
      </c>
      <c r="UQ52" s="414">
        <f t="shared" si="188"/>
        <v>0</v>
      </c>
      <c r="UR52" s="414">
        <f t="shared" si="189"/>
        <v>0.23150944775004145</v>
      </c>
      <c r="US52" s="414">
        <f t="shared" si="190"/>
        <v>0.33641489904640026</v>
      </c>
      <c r="UT52" s="414">
        <f t="shared" si="191"/>
        <v>0.68973423482035578</v>
      </c>
      <c r="UU52" s="414" t="str">
        <f t="shared" si="192"/>
        <v/>
      </c>
      <c r="UV52" s="414" t="str">
        <f t="shared" si="193"/>
        <v/>
      </c>
      <c r="UW52" s="414" t="str">
        <f t="shared" si="194"/>
        <v/>
      </c>
      <c r="UX52" s="414">
        <f t="shared" si="195"/>
        <v>1.2731195558249493</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7.8616319773947951E-2</v>
      </c>
      <c r="TT53" s="414">
        <f t="shared" si="168"/>
        <v>1.84717378650689</v>
      </c>
      <c r="TU53" s="414">
        <f t="shared" si="169"/>
        <v>1.5467233456802758</v>
      </c>
      <c r="TV53" s="414">
        <f t="shared" si="170"/>
        <v>0.52923735323814625</v>
      </c>
      <c r="TW53" s="414">
        <f t="shared" si="171"/>
        <v>0</v>
      </c>
      <c r="TX53" s="414">
        <f t="shared" si="197"/>
        <v>0.37388091571283533</v>
      </c>
      <c r="TY53" s="414">
        <f t="shared" si="172"/>
        <v>6.1800156952349279E-4</v>
      </c>
      <c r="TZ53" s="414">
        <f t="shared" si="173"/>
        <v>1.3147737844184513</v>
      </c>
      <c r="UA53" s="414">
        <f t="shared" si="174"/>
        <v>2.3795166530999303</v>
      </c>
      <c r="UC53" s="413" t="str">
        <f t="shared" si="198"/>
        <v/>
      </c>
      <c r="UD53" s="413" t="str">
        <f t="shared" si="175"/>
        <v>Thread 1</v>
      </c>
      <c r="UE53" s="414">
        <f t="shared" si="176"/>
        <v>7.8616319773947951E-2</v>
      </c>
      <c r="UF53" s="414" t="str">
        <f t="shared" si="177"/>
        <v/>
      </c>
      <c r="UG53" s="414" t="str">
        <f t="shared" si="178"/>
        <v/>
      </c>
      <c r="UH53" s="414" t="str">
        <f t="shared" si="179"/>
        <v/>
      </c>
      <c r="UI53" s="414" t="str">
        <f t="shared" si="180"/>
        <v/>
      </c>
      <c r="UJ53" s="414" t="str">
        <f t="shared" si="181"/>
        <v/>
      </c>
      <c r="UK53" s="414">
        <f t="shared" si="182"/>
        <v>1.84717378650689</v>
      </c>
      <c r="UL53" s="414" t="str">
        <f t="shared" si="183"/>
        <v/>
      </c>
      <c r="UM53" s="414" t="str">
        <f t="shared" si="184"/>
        <v/>
      </c>
      <c r="UN53" s="414">
        <f t="shared" si="185"/>
        <v>1.5467233456802758</v>
      </c>
      <c r="UO53" s="414" t="str">
        <f t="shared" si="186"/>
        <v/>
      </c>
      <c r="UP53" s="414">
        <f t="shared" si="187"/>
        <v>0.52923735323814625</v>
      </c>
      <c r="UQ53" s="414">
        <f t="shared" si="188"/>
        <v>0</v>
      </c>
      <c r="UR53" s="414">
        <f t="shared" si="189"/>
        <v>0.37388091571283533</v>
      </c>
      <c r="US53" s="414">
        <f t="shared" si="190"/>
        <v>6.1800156952349279E-4</v>
      </c>
      <c r="UT53" s="414">
        <f t="shared" si="191"/>
        <v>1.3147737844184513</v>
      </c>
      <c r="UU53" s="414" t="str">
        <f t="shared" si="192"/>
        <v/>
      </c>
      <c r="UV53" s="414" t="str">
        <f t="shared" si="193"/>
        <v/>
      </c>
      <c r="UW53" s="414" t="str">
        <f t="shared" si="194"/>
        <v/>
      </c>
      <c r="UX53" s="414">
        <f t="shared" si="195"/>
        <v>2.3795166530999303</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7.9013788520787165E-2</v>
      </c>
      <c r="TT54" s="414">
        <f t="shared" si="168"/>
        <v>1.8487002197088622</v>
      </c>
      <c r="TU54" s="414">
        <f t="shared" si="169"/>
        <v>1.5432330873866127</v>
      </c>
      <c r="TV54" s="414">
        <f t="shared" si="170"/>
        <v>0.52913780213197792</v>
      </c>
      <c r="TW54" s="414">
        <f t="shared" si="171"/>
        <v>0</v>
      </c>
      <c r="TX54" s="414">
        <f t="shared" si="197"/>
        <v>0.37794248312744677</v>
      </c>
      <c r="TY54" s="414">
        <f t="shared" si="172"/>
        <v>8.0514276344585526E-4</v>
      </c>
      <c r="TZ54" s="414">
        <f t="shared" si="173"/>
        <v>1.3157157842280183</v>
      </c>
      <c r="UA54" s="414">
        <f t="shared" si="174"/>
        <v>2.3753099321328497</v>
      </c>
      <c r="UC54" s="413" t="str">
        <f t="shared" si="198"/>
        <v/>
      </c>
      <c r="UD54" s="413" t="str">
        <f t="shared" si="175"/>
        <v>Thread 2</v>
      </c>
      <c r="UE54" s="414">
        <f t="shared" si="176"/>
        <v>7.9013788520787165E-2</v>
      </c>
      <c r="UF54" s="414" t="str">
        <f t="shared" si="177"/>
        <v/>
      </c>
      <c r="UG54" s="414" t="str">
        <f t="shared" si="178"/>
        <v/>
      </c>
      <c r="UH54" s="414" t="str">
        <f t="shared" si="179"/>
        <v/>
      </c>
      <c r="UI54" s="414" t="str">
        <f t="shared" si="180"/>
        <v/>
      </c>
      <c r="UJ54" s="414" t="str">
        <f t="shared" si="181"/>
        <v/>
      </c>
      <c r="UK54" s="414">
        <f t="shared" si="182"/>
        <v>1.8487002197088622</v>
      </c>
      <c r="UL54" s="414" t="str">
        <f t="shared" si="183"/>
        <v/>
      </c>
      <c r="UM54" s="414" t="str">
        <f t="shared" si="184"/>
        <v/>
      </c>
      <c r="UN54" s="414">
        <f t="shared" si="185"/>
        <v>1.5432330873866127</v>
      </c>
      <c r="UO54" s="414" t="str">
        <f t="shared" si="186"/>
        <v/>
      </c>
      <c r="UP54" s="414">
        <f t="shared" si="187"/>
        <v>0.52913780213197792</v>
      </c>
      <c r="UQ54" s="414">
        <f t="shared" si="188"/>
        <v>0</v>
      </c>
      <c r="UR54" s="414">
        <f t="shared" si="189"/>
        <v>0.37794248312744677</v>
      </c>
      <c r="US54" s="414">
        <f t="shared" si="190"/>
        <v>8.0514276344585526E-4</v>
      </c>
      <c r="UT54" s="414">
        <f t="shared" si="191"/>
        <v>1.3157157842280183</v>
      </c>
      <c r="UU54" s="414" t="str">
        <f t="shared" si="192"/>
        <v/>
      </c>
      <c r="UV54" s="414" t="str">
        <f t="shared" si="193"/>
        <v/>
      </c>
      <c r="UW54" s="414" t="str">
        <f t="shared" si="194"/>
        <v/>
      </c>
      <c r="UX54" s="414">
        <f t="shared" si="195"/>
        <v>2.3753099321328497</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2024-10-11T06:54:48Z</dcterms:modified>
  <cp:category/>
</cp:coreProperties>
</file>